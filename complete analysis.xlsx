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naren\Downloads\"/>
    </mc:Choice>
  </mc:AlternateContent>
  <xr:revisionPtr revIDLastSave="0" documentId="13_ncr:1_{77455F78-802E-46C1-93ED-8842939679C9}" xr6:coauthVersionLast="47" xr6:coauthVersionMax="47" xr10:uidLastSave="{00000000-0000-0000-0000-000000000000}"/>
  <bookViews>
    <workbookView xWindow="-108" yWindow="-108" windowWidth="23256" windowHeight="12456" firstSheet="2" activeTab="8" xr2:uid="{B25B6A56-F85F-4DF3-9228-98E8B444525E}"/>
  </bookViews>
  <sheets>
    <sheet name="cleaned_ecommerce_sales_data" sheetId="2" r:id="rId1"/>
    <sheet name="revenue by category" sheetId="4" r:id="rId2"/>
    <sheet name="top 10 product revenue" sheetId="5" r:id="rId3"/>
    <sheet name="monthly revenue" sheetId="6" r:id="rId4"/>
    <sheet name="status dist." sheetId="8" r:id="rId5"/>
    <sheet name="Detail1" sheetId="10" state="hidden" r:id="rId6"/>
    <sheet name="payment dist" sheetId="9" r:id="rId7"/>
    <sheet name="KPI" sheetId="12" r:id="rId8"/>
    <sheet name="dashboard" sheetId="11" r:id="rId9"/>
  </sheets>
  <definedNames>
    <definedName name="ExternalData_1" localSheetId="0" hidden="1">cleaned_ecommerce_sales_data!$A$1:$O$100</definedName>
    <definedName name="Slicer_Category">#N/A</definedName>
    <definedName name="Slicer_Month">#N/A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ssy_ecommerce_sales_data_94776892-3b93-4108-a62b-a4b006919830" name="messy_ecommerce_sales_data" connection="Query - messy_ecommerce_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12" l="1"/>
  <c r="L3" i="2"/>
  <c r="L2"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03F2DC-40E8-435A-971D-8478001ECFB4}" keepAlive="1" name="ModelConnection_ExternalData_1" description="Data Model" type="5" refreshedVersion="8" minRefreshableVersion="5" saveData="1">
    <dbPr connection="Data Model Connection" command="messy_ecommerce_sales_data" commandType="3"/>
    <extLst>
      <ext xmlns:x15="http://schemas.microsoft.com/office/spreadsheetml/2010/11/main" uri="{DE250136-89BD-433C-8126-D09CA5730AF9}">
        <x15:connection id="" model="1"/>
      </ext>
    </extLst>
  </connection>
  <connection id="2" xr16:uid="{1A604D5F-FBE3-485E-BC43-DC67AB8D31F1}" name="Query - messy_ecommerce_sales_data" description="Connection to the 'messy_ecommerce_sales_data' query in the workbook." type="100" refreshedVersion="8" minRefreshableVersion="5">
    <extLst>
      <ext xmlns:x15="http://schemas.microsoft.com/office/spreadsheetml/2010/11/main" uri="{DE250136-89BD-433C-8126-D09CA5730AF9}">
        <x15:connection id="05ade0eb-d81e-46d4-a2b5-74a8645b7433"/>
      </ext>
    </extLst>
  </connection>
  <connection id="3" xr16:uid="{95CC576A-7453-4E9A-BCD6-E89B97DD320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<sst xmlns="http://schemas.openxmlformats.org/spreadsheetml/2006/main" count="1105" uniqueCount="371">
  <si>
    <t>ID</t>
  </si>
  <si>
    <t>Customer_Name</t>
  </si>
  <si>
    <t>Order_ID</t>
  </si>
  <si>
    <t>Order_Date</t>
  </si>
  <si>
    <t>Product</t>
  </si>
  <si>
    <t>Category</t>
  </si>
  <si>
    <t>Quantity</t>
  </si>
  <si>
    <t>Price</t>
  </si>
  <si>
    <t>Payment_Method</t>
  </si>
  <si>
    <t>Status</t>
  </si>
  <si>
    <t>Total Revenue</t>
  </si>
  <si>
    <t>Year</t>
  </si>
  <si>
    <t>Revenue Bucket</t>
  </si>
  <si>
    <t>100</t>
  </si>
  <si>
    <t>Customer_100</t>
  </si>
  <si>
    <t>ORD-41285</t>
  </si>
  <si>
    <t>Blender</t>
  </si>
  <si>
    <t>Home</t>
  </si>
  <si>
    <t>Cash on Delivery</t>
  </si>
  <si>
    <t>Shipped</t>
  </si>
  <si>
    <t>Low Bucket</t>
  </si>
  <si>
    <t>In Progress</t>
  </si>
  <si>
    <t>101</t>
  </si>
  <si>
    <t>Customer_101</t>
  </si>
  <si>
    <t>ORD-35783</t>
  </si>
  <si>
    <t>Smartphone</t>
  </si>
  <si>
    <t>Electronics</t>
  </si>
  <si>
    <t>PayPal</t>
  </si>
  <si>
    <t>Processing</t>
  </si>
  <si>
    <t>Unknown</t>
  </si>
  <si>
    <t>102</t>
  </si>
  <si>
    <t>Customer_102</t>
  </si>
  <si>
    <t>ORD-84355</t>
  </si>
  <si>
    <t>Tennis Racket</t>
  </si>
  <si>
    <t>Sports</t>
  </si>
  <si>
    <t>Delivered</t>
  </si>
  <si>
    <t>Completed</t>
  </si>
  <si>
    <t>103</t>
  </si>
  <si>
    <t>Customer_103</t>
  </si>
  <si>
    <t>ORD-57811</t>
  </si>
  <si>
    <t>Science</t>
  </si>
  <si>
    <t>Books</t>
  </si>
  <si>
    <t>Medium Bucket</t>
  </si>
  <si>
    <t>104</t>
  </si>
  <si>
    <t>Customer_104</t>
  </si>
  <si>
    <t>ORD-93614</t>
  </si>
  <si>
    <t>Biography</t>
  </si>
  <si>
    <t>105</t>
  </si>
  <si>
    <t>Customer_105</t>
  </si>
  <si>
    <t>ORD-22442</t>
  </si>
  <si>
    <t>Cancelled</t>
  </si>
  <si>
    <t>Unsuccessful</t>
  </si>
  <si>
    <t>106</t>
  </si>
  <si>
    <t>Customer_106</t>
  </si>
  <si>
    <t>ORD-25885</t>
  </si>
  <si>
    <t>Bank Transfer</t>
  </si>
  <si>
    <t>107</t>
  </si>
  <si>
    <t>Customer_107</t>
  </si>
  <si>
    <t>ORD-89122</t>
  </si>
  <si>
    <t>Returned</t>
  </si>
  <si>
    <t>High Bucket</t>
  </si>
  <si>
    <t>108</t>
  </si>
  <si>
    <t>Customer_108</t>
  </si>
  <si>
    <t>ORD-64400</t>
  </si>
  <si>
    <t>109</t>
  </si>
  <si>
    <t>Customer_109</t>
  </si>
  <si>
    <t>ORD-18512</t>
  </si>
  <si>
    <t>Credit Card</t>
  </si>
  <si>
    <t>May</t>
  </si>
  <si>
    <t>110</t>
  </si>
  <si>
    <t>Customer_110</t>
  </si>
  <si>
    <t>ORD-61020</t>
  </si>
  <si>
    <t>Basketball</t>
  </si>
  <si>
    <t>111</t>
  </si>
  <si>
    <t>Customer_111</t>
  </si>
  <si>
    <t>ORD-72349</t>
  </si>
  <si>
    <t>Comics</t>
  </si>
  <si>
    <t>112</t>
  </si>
  <si>
    <t>Customer_112</t>
  </si>
  <si>
    <t>ORD-80867</t>
  </si>
  <si>
    <t>Shoes</t>
  </si>
  <si>
    <t>Clothing</t>
  </si>
  <si>
    <t>113</t>
  </si>
  <si>
    <t>Customer_113</t>
  </si>
  <si>
    <t>ORD-23994</t>
  </si>
  <si>
    <t>Fiction</t>
  </si>
  <si>
    <t>114</t>
  </si>
  <si>
    <t>Customer_114</t>
  </si>
  <si>
    <t>ORD-77417</t>
  </si>
  <si>
    <t>115</t>
  </si>
  <si>
    <t>Customer_115</t>
  </si>
  <si>
    <t>ORD-72778</t>
  </si>
  <si>
    <t>116</t>
  </si>
  <si>
    <t>Customer_116</t>
  </si>
  <si>
    <t>ORD-63660</t>
  </si>
  <si>
    <t>Microwave</t>
  </si>
  <si>
    <t>117</t>
  </si>
  <si>
    <t>Customer_117</t>
  </si>
  <si>
    <t>ORD-72751</t>
  </si>
  <si>
    <t>118</t>
  </si>
  <si>
    <t>Customer_118</t>
  </si>
  <si>
    <t>ORD-96061</t>
  </si>
  <si>
    <t>119</t>
  </si>
  <si>
    <t>Customer_119</t>
  </si>
  <si>
    <t>ORD-76016</t>
  </si>
  <si>
    <t>120</t>
  </si>
  <si>
    <t>Customer_120</t>
  </si>
  <si>
    <t>ORD-14659</t>
  </si>
  <si>
    <t>Yoga Mat</t>
  </si>
  <si>
    <t>121</t>
  </si>
  <si>
    <t>Customer_121</t>
  </si>
  <si>
    <t>ORD-80067</t>
  </si>
  <si>
    <t>122</t>
  </si>
  <si>
    <t>Customer_122</t>
  </si>
  <si>
    <t>ORD-21443</t>
  </si>
  <si>
    <t>123</t>
  </si>
  <si>
    <t>Customer_123</t>
  </si>
  <si>
    <t>ORD-11314</t>
  </si>
  <si>
    <t>Vacuum</t>
  </si>
  <si>
    <t>124</t>
  </si>
  <si>
    <t>Customer_124</t>
  </si>
  <si>
    <t>ORD-46136</t>
  </si>
  <si>
    <t>125</t>
  </si>
  <si>
    <t>Customer_125</t>
  </si>
  <si>
    <t>ORD-23202</t>
  </si>
  <si>
    <t>126</t>
  </si>
  <si>
    <t>Customer_126</t>
  </si>
  <si>
    <t>ORD-11261</t>
  </si>
  <si>
    <t>127</t>
  </si>
  <si>
    <t>Customer_127</t>
  </si>
  <si>
    <t>ORD-65482</t>
  </si>
  <si>
    <t>128</t>
  </si>
  <si>
    <t>Customer_128</t>
  </si>
  <si>
    <t>ORD-12270</t>
  </si>
  <si>
    <t>Lamp</t>
  </si>
  <si>
    <t>129</t>
  </si>
  <si>
    <t>Customer_129</t>
  </si>
  <si>
    <t>ORD-48863</t>
  </si>
  <si>
    <t>130</t>
  </si>
  <si>
    <t>Customer_130</t>
  </si>
  <si>
    <t>ORD-34007</t>
  </si>
  <si>
    <t>131</t>
  </si>
  <si>
    <t>Customer_131</t>
  </si>
  <si>
    <t>ORD-91396</t>
  </si>
  <si>
    <t>132</t>
  </si>
  <si>
    <t>Customer_132</t>
  </si>
  <si>
    <t>ORD-40186</t>
  </si>
  <si>
    <t>133</t>
  </si>
  <si>
    <t>Customer_133</t>
  </si>
  <si>
    <t>ORD-68182</t>
  </si>
  <si>
    <t>134</t>
  </si>
  <si>
    <t>Customer_134</t>
  </si>
  <si>
    <t>ORD-16585</t>
  </si>
  <si>
    <t>T-shirt</t>
  </si>
  <si>
    <t>135</t>
  </si>
  <si>
    <t>Customer_135</t>
  </si>
  <si>
    <t>ORD-33656</t>
  </si>
  <si>
    <t>Smartwatch</t>
  </si>
  <si>
    <t>136</t>
  </si>
  <si>
    <t>Customer_136</t>
  </si>
  <si>
    <t>ORD-20985</t>
  </si>
  <si>
    <t>Headphones</t>
  </si>
  <si>
    <t>137</t>
  </si>
  <si>
    <t>Customer_137</t>
  </si>
  <si>
    <t>ORD-91254</t>
  </si>
  <si>
    <t>138</t>
  </si>
  <si>
    <t>Customer_138</t>
  </si>
  <si>
    <t>ORD-34319</t>
  </si>
  <si>
    <t>139</t>
  </si>
  <si>
    <t>Customer_139</t>
  </si>
  <si>
    <t>ORD-38418</t>
  </si>
  <si>
    <t>140</t>
  </si>
  <si>
    <t>Customer_140</t>
  </si>
  <si>
    <t>ORD-67096</t>
  </si>
  <si>
    <t>141</t>
  </si>
  <si>
    <t>Customer_141</t>
  </si>
  <si>
    <t>ORD-45059</t>
  </si>
  <si>
    <t>142</t>
  </si>
  <si>
    <t>Customer_142</t>
  </si>
  <si>
    <t>ORD-69018</t>
  </si>
  <si>
    <t>143</t>
  </si>
  <si>
    <t>Customer_143</t>
  </si>
  <si>
    <t>ORD-14329</t>
  </si>
  <si>
    <t>144</t>
  </si>
  <si>
    <t>Customer_144</t>
  </si>
  <si>
    <t>ORD-89452</t>
  </si>
  <si>
    <t>Football</t>
  </si>
  <si>
    <t>145</t>
  </si>
  <si>
    <t>Customer_145</t>
  </si>
  <si>
    <t>ORD-75314</t>
  </si>
  <si>
    <t>Laptop</t>
  </si>
  <si>
    <t>146</t>
  </si>
  <si>
    <t>Customer_146</t>
  </si>
  <si>
    <t>ORD-32755</t>
  </si>
  <si>
    <t>147</t>
  </si>
  <si>
    <t>Customer_147</t>
  </si>
  <si>
    <t>ORD-80707</t>
  </si>
  <si>
    <t>Jacket</t>
  </si>
  <si>
    <t>148</t>
  </si>
  <si>
    <t>Customer_148</t>
  </si>
  <si>
    <t>ORD-38423</t>
  </si>
  <si>
    <t>149</t>
  </si>
  <si>
    <t>Customer_149</t>
  </si>
  <si>
    <t>ORD-95911</t>
  </si>
  <si>
    <t>150</t>
  </si>
  <si>
    <t>Customer_150</t>
  </si>
  <si>
    <t>ORD-76902</t>
  </si>
  <si>
    <t>151</t>
  </si>
  <si>
    <t>Customer_151</t>
  </si>
  <si>
    <t>ORD-56552</t>
  </si>
  <si>
    <t>152</t>
  </si>
  <si>
    <t>Customer_152</t>
  </si>
  <si>
    <t>ORD-72869</t>
  </si>
  <si>
    <t>153</t>
  </si>
  <si>
    <t>Customer_153</t>
  </si>
  <si>
    <t>ORD-29721</t>
  </si>
  <si>
    <t>154</t>
  </si>
  <si>
    <t>Customer_154</t>
  </si>
  <si>
    <t>ORD-95990</t>
  </si>
  <si>
    <t>155</t>
  </si>
  <si>
    <t>Customer_155</t>
  </si>
  <si>
    <t>ORD-20182</t>
  </si>
  <si>
    <t>156</t>
  </si>
  <si>
    <t>Customer_156</t>
  </si>
  <si>
    <t>ORD-34679</t>
  </si>
  <si>
    <t>Jeans</t>
  </si>
  <si>
    <t>157</t>
  </si>
  <si>
    <t>Customer_157</t>
  </si>
  <si>
    <t>ORD-34407</t>
  </si>
  <si>
    <t>158</t>
  </si>
  <si>
    <t>Customer_158</t>
  </si>
  <si>
    <t>ORD-35817</t>
  </si>
  <si>
    <t>159</t>
  </si>
  <si>
    <t>Customer_159</t>
  </si>
  <si>
    <t>ORD-98162</t>
  </si>
  <si>
    <t>160</t>
  </si>
  <si>
    <t>Customer_160</t>
  </si>
  <si>
    <t>ORD-96037</t>
  </si>
  <si>
    <t>161</t>
  </si>
  <si>
    <t>Customer_161</t>
  </si>
  <si>
    <t>ORD-27653</t>
  </si>
  <si>
    <t>162</t>
  </si>
  <si>
    <t>Customer_162</t>
  </si>
  <si>
    <t>ORD-27743</t>
  </si>
  <si>
    <t>163</t>
  </si>
  <si>
    <t>Customer_163</t>
  </si>
  <si>
    <t>ORD-24378</t>
  </si>
  <si>
    <t>164</t>
  </si>
  <si>
    <t>Customer_164</t>
  </si>
  <si>
    <t>ORD-23010</t>
  </si>
  <si>
    <t>165</t>
  </si>
  <si>
    <t>Customer_165</t>
  </si>
  <si>
    <t>ORD-55695</t>
  </si>
  <si>
    <t>166</t>
  </si>
  <si>
    <t>Customer_166</t>
  </si>
  <si>
    <t>ORD-97756</t>
  </si>
  <si>
    <t>167</t>
  </si>
  <si>
    <t>Customer_167</t>
  </si>
  <si>
    <t>ORD-30329</t>
  </si>
  <si>
    <t>168</t>
  </si>
  <si>
    <t>Customer_168</t>
  </si>
  <si>
    <t>ORD-53430</t>
  </si>
  <si>
    <t>169</t>
  </si>
  <si>
    <t>Customer_169</t>
  </si>
  <si>
    <t>ORD-75539</t>
  </si>
  <si>
    <t>170</t>
  </si>
  <si>
    <t>Customer_170</t>
  </si>
  <si>
    <t>ORD-21530</t>
  </si>
  <si>
    <t>171</t>
  </si>
  <si>
    <t>Customer_171</t>
  </si>
  <si>
    <t>ORD-99790</t>
  </si>
  <si>
    <t>172</t>
  </si>
  <si>
    <t>Customer_172</t>
  </si>
  <si>
    <t>ORD-48008</t>
  </si>
  <si>
    <t>173</t>
  </si>
  <si>
    <t>Customer_173</t>
  </si>
  <si>
    <t>ORD-42171</t>
  </si>
  <si>
    <t>174</t>
  </si>
  <si>
    <t>Customer_174</t>
  </si>
  <si>
    <t>ORD-16766</t>
  </si>
  <si>
    <t>175</t>
  </si>
  <si>
    <t>Customer_175</t>
  </si>
  <si>
    <t>ORD-56651</t>
  </si>
  <si>
    <t>176</t>
  </si>
  <si>
    <t>Customer_176</t>
  </si>
  <si>
    <t>ORD-95794</t>
  </si>
  <si>
    <t>177</t>
  </si>
  <si>
    <t>Customer_177</t>
  </si>
  <si>
    <t>ORD-64136</t>
  </si>
  <si>
    <t>178</t>
  </si>
  <si>
    <t>Customer_178</t>
  </si>
  <si>
    <t>ORD-89906</t>
  </si>
  <si>
    <t>179</t>
  </si>
  <si>
    <t>Customer_179</t>
  </si>
  <si>
    <t>ORD-99328</t>
  </si>
  <si>
    <t>180</t>
  </si>
  <si>
    <t>Customer_180</t>
  </si>
  <si>
    <t>ORD-86629</t>
  </si>
  <si>
    <t>181</t>
  </si>
  <si>
    <t>Customer_181</t>
  </si>
  <si>
    <t>ORD-54481</t>
  </si>
  <si>
    <t>182</t>
  </si>
  <si>
    <t>Customer_182</t>
  </si>
  <si>
    <t>ORD-79672</t>
  </si>
  <si>
    <t>183</t>
  </si>
  <si>
    <t>Customer_183</t>
  </si>
  <si>
    <t>ORD-20916</t>
  </si>
  <si>
    <t>184</t>
  </si>
  <si>
    <t>Customer_184</t>
  </si>
  <si>
    <t>ORD-67799</t>
  </si>
  <si>
    <t>185</t>
  </si>
  <si>
    <t>Customer_185</t>
  </si>
  <si>
    <t>ORD-57123</t>
  </si>
  <si>
    <t>186</t>
  </si>
  <si>
    <t>Customer_186</t>
  </si>
  <si>
    <t>ORD-90569</t>
  </si>
  <si>
    <t>187</t>
  </si>
  <si>
    <t>Customer_187</t>
  </si>
  <si>
    <t>ORD-41292</t>
  </si>
  <si>
    <t>188</t>
  </si>
  <si>
    <t>Customer_188</t>
  </si>
  <si>
    <t>ORD-58590</t>
  </si>
  <si>
    <t>189</t>
  </si>
  <si>
    <t>Customer_189</t>
  </si>
  <si>
    <t>ORD-30627</t>
  </si>
  <si>
    <t>190</t>
  </si>
  <si>
    <t>Customer_190</t>
  </si>
  <si>
    <t>ORD-38469</t>
  </si>
  <si>
    <t>191</t>
  </si>
  <si>
    <t>Customer_191</t>
  </si>
  <si>
    <t>ORD-41810</t>
  </si>
  <si>
    <t>193</t>
  </si>
  <si>
    <t>Customer_193</t>
  </si>
  <si>
    <t>ORD-42475</t>
  </si>
  <si>
    <t>194</t>
  </si>
  <si>
    <t>Customer_194</t>
  </si>
  <si>
    <t>ORD-69764</t>
  </si>
  <si>
    <t>195</t>
  </si>
  <si>
    <t>Customer_195</t>
  </si>
  <si>
    <t>ORD-82876</t>
  </si>
  <si>
    <t>196</t>
  </si>
  <si>
    <t>Customer_196</t>
  </si>
  <si>
    <t>ORD-78384</t>
  </si>
  <si>
    <t>197</t>
  </si>
  <si>
    <t>Customer_197</t>
  </si>
  <si>
    <t>ORD-79139</t>
  </si>
  <si>
    <t>198</t>
  </si>
  <si>
    <t>Customer_198</t>
  </si>
  <si>
    <t>ORD-14608</t>
  </si>
  <si>
    <t>199</t>
  </si>
  <si>
    <t>Customer_199</t>
  </si>
  <si>
    <t>ORD-82922</t>
  </si>
  <si>
    <t>Grand Total</t>
  </si>
  <si>
    <t>Sum of Total Revenue</t>
  </si>
  <si>
    <t>Row Labels</t>
  </si>
  <si>
    <t>Status Group</t>
  </si>
  <si>
    <t>Nov</t>
  </si>
  <si>
    <t>Jul</t>
  </si>
  <si>
    <t>Dec</t>
  </si>
  <si>
    <t>Jan</t>
  </si>
  <si>
    <t>Feb</t>
  </si>
  <si>
    <t>Month</t>
  </si>
  <si>
    <t>Oct</t>
  </si>
  <si>
    <t>Aug</t>
  </si>
  <si>
    <t>Jun</t>
  </si>
  <si>
    <t>Sep</t>
  </si>
  <si>
    <t>Mar</t>
  </si>
  <si>
    <t>Apr</t>
  </si>
  <si>
    <t>Count of Order_ID</t>
  </si>
  <si>
    <t>Details for Count of Order_ID - Status Group: Completed</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</si>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</sst>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9" formatCode="0.0,&quot;K&quot;"/>
    <numFmt numFmtId="175" formatCode="\ 0.0,&quot;K&quot;"/>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 fillId="0" borderId="0" xfId="0" applyFont="1"/>
    <xf numFmtId="0" fontId="1" fillId="2" borderId="1" xfId="0" applyFont="1" applyFill="1" applyBorder="1"/>
    <xf numFmtId="0" fontId="0" fillId="0" borderId="0" xfId="0" applyNumberFormat="1"/>
    <xf numFmtId="0" fontId="0" fillId="0" borderId="0" xfId="0" applyAlignment="1">
      <alignment vertical="center"/>
    </xf>
    <xf numFmtId="169" fontId="0" fillId="0" borderId="0" xfId="0" applyNumberFormat="1"/>
    <xf numFmtId="175" fontId="0" fillId="0" borderId="0" xfId="0" applyNumberFormat="1"/>
  </cellXfs>
  <cellStyles count="1">
    <cellStyle name="Normal" xfId="0" builtinId="0"/>
  </cellStyles>
  <dxfs count="15">
    <dxf>
      <numFmt numFmtId="175" formatCode="\ 0.0,&quot;K&quot;"/>
    </dxf>
    <dxf>
      <font>
        <color rgb="FF9C0006"/>
      </font>
      <fill>
        <patternFill>
          <bgColor rgb="FFFFC7CE"/>
        </patternFill>
      </fill>
    </dxf>
    <dxf>
      <numFmt numFmtId="19" formatCode="dd/mm/yyyy"/>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colors>
    <mruColors>
      <color rgb="FFFBFB79"/>
      <color rgb="FFFA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dLbls>
          <c:showLegendKey val="0"/>
          <c:showVal val="0"/>
          <c:showCatName val="0"/>
          <c:showSerName val="0"/>
          <c:showPercent val="0"/>
          <c:showBubbleSize val="0"/>
        </c:dLbls>
        <c:gapWidth val="150"/>
        <c:overlap val="100"/>
        <c:axId val="640112463"/>
        <c:axId val="640114383"/>
      </c:barChart>
      <c:catAx>
        <c:axId val="64011246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114383"/>
        <c:crosses val="autoZero"/>
        <c:auto val="1"/>
        <c:lblAlgn val="ctr"/>
        <c:lblOffset val="100"/>
        <c:noMultiLvlLbl val="0"/>
      </c:catAx>
      <c:valAx>
        <c:axId val="640114383"/>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11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1.xlsx]revenue by category!PivotTable2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layout>
        <c:manualLayout>
          <c:xMode val="edge"/>
          <c:yMode val="edge"/>
          <c:x val="0.26148651873061318"/>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'revenue by category'!$B$3</c:f>
              <c:strCache>
                <c:ptCount val="1"/>
                <c:pt idx="0">
                  <c:v>Total</c:v>
                </c:pt>
              </c:strCache>
            </c:strRef>
          </c:tx>
          <c:spPr>
            <a:solidFill>
              <a:schemeClr val="accent1"/>
            </a:solidFill>
            <a:ln>
              <a:noFill/>
            </a:ln>
            <a:effectLst/>
          </c:spPr>
          <c:invertIfNegative val="0"/>
          <c:cat>
            <c:strRef>
              <c:f>'revenue by category'!$A$4:$A$9</c:f>
              <c:strCache>
                <c:ptCount val="5"/>
                <c:pt idx="0">
                  <c:v>Books</c:v>
                </c:pt>
                <c:pt idx="1">
                  <c:v>Home</c:v>
                </c:pt>
                <c:pt idx="2">
                  <c:v>Clothing</c:v>
                </c:pt>
                <c:pt idx="3">
                  <c:v>Sports</c:v>
                </c:pt>
                <c:pt idx="4">
                  <c:v>Electronics</c:v>
                </c:pt>
              </c:strCache>
            </c:strRef>
          </c:cat>
          <c:val>
            <c:numRef>
              <c:f>'revenue by category'!$B$4:$B$9</c:f>
              <c:numCache>
                <c:formatCode>General</c:formatCode>
                <c:ptCount val="5"/>
                <c:pt idx="0">
                  <c:v>40073.31</c:v>
                </c:pt>
                <c:pt idx="1">
                  <c:v>31017.45</c:v>
                </c:pt>
                <c:pt idx="2">
                  <c:v>27599.190000000002</c:v>
                </c:pt>
                <c:pt idx="3">
                  <c:v>21413.790000000005</c:v>
                </c:pt>
                <c:pt idx="4">
                  <c:v>12330.129999999997</c:v>
                </c:pt>
              </c:numCache>
            </c:numRef>
          </c:val>
          <c:extLst>
            <c:ext xmlns:c16="http://schemas.microsoft.com/office/drawing/2014/chart" uri="{C3380CC4-5D6E-409C-BE32-E72D297353CC}">
              <c16:uniqueId val="{00000000-D0FC-4A7B-8F04-F2B183BCEA1D}"/>
            </c:ext>
          </c:extLst>
        </c:ser>
        <c:dLbls>
          <c:showLegendKey val="0"/>
          <c:showVal val="0"/>
          <c:showCatName val="0"/>
          <c:showSerName val="0"/>
          <c:showPercent val="0"/>
          <c:showBubbleSize val="0"/>
        </c:dLbls>
        <c:gapWidth val="150"/>
        <c:overlap val="100"/>
        <c:axId val="640131183"/>
        <c:axId val="640130703"/>
      </c:barChart>
      <c:catAx>
        <c:axId val="640131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130703"/>
        <c:crosses val="autoZero"/>
        <c:auto val="1"/>
        <c:lblAlgn val="ctr"/>
        <c:lblOffset val="100"/>
        <c:noMultiLvlLbl val="0"/>
      </c:catAx>
      <c:valAx>
        <c:axId val="640130703"/>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Revenue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crossAx val="64013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1.xlsx]top 10 product revenue!PivotTable3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Top 10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product revenue'!$D$4</c:f>
              <c:strCache>
                <c:ptCount val="1"/>
                <c:pt idx="0">
                  <c:v>Total</c:v>
                </c:pt>
              </c:strCache>
            </c:strRef>
          </c:tx>
          <c:spPr>
            <a:solidFill>
              <a:schemeClr val="accent1"/>
            </a:solidFill>
            <a:ln>
              <a:noFill/>
            </a:ln>
            <a:effectLst/>
          </c:spPr>
          <c:invertIfNegative val="0"/>
          <c:cat>
            <c:strRef>
              <c:f>'top 10 product revenue'!$C$5:$C$15</c:f>
              <c:strCache>
                <c:ptCount val="10"/>
                <c:pt idx="0">
                  <c:v>Shoes</c:v>
                </c:pt>
                <c:pt idx="1">
                  <c:v>Comics</c:v>
                </c:pt>
                <c:pt idx="2">
                  <c:v>Lamp</c:v>
                </c:pt>
                <c:pt idx="3">
                  <c:v>Biography</c:v>
                </c:pt>
                <c:pt idx="4">
                  <c:v>Blender</c:v>
                </c:pt>
                <c:pt idx="5">
                  <c:v>Science</c:v>
                </c:pt>
                <c:pt idx="6">
                  <c:v>Basketball</c:v>
                </c:pt>
                <c:pt idx="7">
                  <c:v>Fiction</c:v>
                </c:pt>
                <c:pt idx="8">
                  <c:v>Football</c:v>
                </c:pt>
                <c:pt idx="9">
                  <c:v>T-shirt</c:v>
                </c:pt>
              </c:strCache>
            </c:strRef>
          </c:cat>
          <c:val>
            <c:numRef>
              <c:f>'top 10 product revenue'!$D$5:$D$15</c:f>
              <c:numCache>
                <c:formatCode>General</c:formatCode>
                <c:ptCount val="10"/>
                <c:pt idx="0">
                  <c:v>14728.67</c:v>
                </c:pt>
                <c:pt idx="1">
                  <c:v>14728.640000000001</c:v>
                </c:pt>
                <c:pt idx="2">
                  <c:v>14306.440000000002</c:v>
                </c:pt>
                <c:pt idx="3">
                  <c:v>9577.39</c:v>
                </c:pt>
                <c:pt idx="4">
                  <c:v>8075.3799999999992</c:v>
                </c:pt>
                <c:pt idx="5">
                  <c:v>8005.71</c:v>
                </c:pt>
                <c:pt idx="6">
                  <c:v>7837.77</c:v>
                </c:pt>
                <c:pt idx="7">
                  <c:v>7761.57</c:v>
                </c:pt>
                <c:pt idx="8">
                  <c:v>5707.1900000000005</c:v>
                </c:pt>
                <c:pt idx="9">
                  <c:v>5272.6100000000006</c:v>
                </c:pt>
              </c:numCache>
            </c:numRef>
          </c:val>
          <c:extLst>
            <c:ext xmlns:c16="http://schemas.microsoft.com/office/drawing/2014/chart" uri="{C3380CC4-5D6E-409C-BE32-E72D297353CC}">
              <c16:uniqueId val="{00000000-ED62-4BCB-97AE-7068786E8510}"/>
            </c:ext>
          </c:extLst>
        </c:ser>
        <c:dLbls>
          <c:showLegendKey val="0"/>
          <c:showVal val="0"/>
          <c:showCatName val="0"/>
          <c:showSerName val="0"/>
          <c:showPercent val="0"/>
          <c:showBubbleSize val="0"/>
        </c:dLbls>
        <c:gapWidth val="150"/>
        <c:overlap val="100"/>
        <c:axId val="714300463"/>
        <c:axId val="422121871"/>
      </c:barChart>
      <c:catAx>
        <c:axId val="7143004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121871"/>
        <c:crosses val="autoZero"/>
        <c:auto val="1"/>
        <c:lblAlgn val="ctr"/>
        <c:lblOffset val="100"/>
        <c:noMultiLvlLbl val="0"/>
      </c:catAx>
      <c:valAx>
        <c:axId val="422121871"/>
        <c:scaling>
          <c:orientation val="minMax"/>
        </c:scaling>
        <c:delete val="1"/>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Revenue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71430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1.xlsx]monthly revenue!PivotTable5</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revenue'!$E$6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'monthly revenue'!$D$7:$D$19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revenue'!$E$7:$E$19</c:f>
              <c:numCache>
                <c:formatCode>0.00</c:formatCode>
                <c:ptCount val="12"/>
                <c:pt idx="0">
                  <c:v>13383.470000000001</c:v>
                </c:pt>
                <c:pt idx="1">
                  <c:v>19391.34</c:v>
                </c:pt>
                <c:pt idx="2">
                  <c:v>5675.8600000000006</c:v>
                </c:pt>
                <c:pt idx="3">
                  <c:v>1200.28</c:v>
                </c:pt>
                <c:pt idx="4">
                  <c:v>12681.01</c:v>
                </c:pt>
                <c:pt idx="5">
                  <c:v>16376.43</c:v>
                </c:pt>
                <c:pt idx="6">
                  <c:v>15092.8</c:v>
                </c:pt>
                <c:pt idx="7">
                  <c:v>5543.1100000000006</c:v>
                </c:pt>
                <c:pt idx="8">
                  <c:v>7471.68</c:v>
                </c:pt>
                <c:pt idx="9">
                  <c:v>15883.35</c:v>
                </c:pt>
                <c:pt idx="10">
                  <c:v>12706.73</c:v>
                </c:pt>
                <c:pt idx="11">
                  <c:v>7027.8099999999995</c:v>
                </c:pt>
              </c:numCache>
            </c:numRef>
          </c:val>
          <c:smooth val="0"/>
          <c:extLst>
            <c:ext xmlns:c16="http://schemas.microsoft.com/office/drawing/2014/chart" uri="{C3380CC4-5D6E-409C-BE32-E72D297353CC}">
              <c16:uniqueId val="{00000000-05A3-4571-A0C5-740FF6DEA6F0}"/>
            </c:ext>
          </c:extLst>
        </c:ser>
        <c:dLbls>
          <c:showLegendKey val="0"/>
          <c:showVal val="0"/>
          <c:showCatName val="0"/>
          <c:showSerName val="0"/>
          <c:showPercent val="0"/>
          <c:showBubbleSize val="0"/>
        </c:dLbls>
        <c:marker val="1"/>
        <c:smooth val="0"/>
        <c:axId val="640123983"/>
        <c:axId val="640113423"/>
      </c:lineChart>
      <c:catAx>
        <c:axId val="64012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113423"/>
        <c:crosses val="autoZero"/>
        <c:auto val="1"/>
        <c:lblAlgn val="ctr"/>
        <c:lblOffset val="100"/>
        <c:noMultiLvlLbl val="0"/>
      </c:catAx>
      <c:valAx>
        <c:axId val="640113423"/>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4012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1.xlsx]status dist.!PivotTable7</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Order</a:t>
            </a:r>
            <a:r>
              <a:rPr lang="en-US" sz="1600" baseline="0"/>
              <a:t> Status Distribution</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'status dist.'!$E$3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72-4043-B858-EF189A4A2C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72-4043-B858-EF189A4A2C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72-4043-B858-EF189A4A2C89}"/>
              </c:ext>
            </c:extLst>
          </c:dPt>
          <c:cat>
            <c:strRef>
              <c:f>'status dist.'!$D$4:$D$7</c:f>
              <c:strCache>
                <c:ptCount val="3"/>
                <c:pt idx="0">
                  <c:v>Completed</c:v>
                </c:pt>
                <c:pt idx="1">
                  <c:v>In Progress</c:v>
                </c:pt>
                <c:pt idx="2">
                  <c:v>Unsuccessful</c:v>
                </c:pt>
              </c:strCache>
            </c:strRef>
          </c:cat>
          <c:val>
            <c:numRef>
              <c:f>'status dist.'!$E$4:$E$7</c:f>
              <c:numCache>
                <c:formatCode>General</c:formatCode>
                <c:ptCount val="3"/>
                <c:pt idx="0">
                  <c:v>11</c:v>
                </c:pt>
                <c:pt idx="1">
                  <c:v>47</c:v>
                </c:pt>
                <c:pt idx="2">
                  <c:v>41</c:v>
                </c:pt>
              </c:numCache>
            </c:numRef>
          </c:val>
          <c:extLst>
            <c:ext xmlns:c16="http://schemas.microsoft.com/office/drawing/2014/chart" uri="{C3380CC4-5D6E-409C-BE32-E72D297353CC}">
              <c16:uniqueId val="{00000000-8525-4A6F-B0E1-A20BD07EDA4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1.xlsx]payment dist!PivotTable8</c:name>
    <c:fmtId val="5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Payment</a:t>
            </a:r>
            <a:r>
              <a:rPr lang="en-US" sz="1600" baseline="0"/>
              <a:t> Method Distribution</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'payment dist'!$F$5</c:f>
              <c:strCache>
                <c:ptCount val="1"/>
                <c:pt idx="0">
                  <c:v>Total</c:v>
                </c:pt>
              </c:strCache>
            </c:strRef>
          </c:tx>
          <c:spPr>
            <a:solidFill>
              <a:schemeClr val="accent1"/>
            </a:solidFill>
            <a:ln>
              <a:noFill/>
            </a:ln>
            <a:effectLst/>
          </c:spPr>
          <c:invertIfNegative val="0"/>
          <c:cat>
            <c:strRef>
              <c:f>'payment dist'!$E$6:$E$10</c:f>
              <c:strCache>
                <c:ptCount val="4"/>
                <c:pt idx="0">
                  <c:v>Cash on Delivery</c:v>
                </c:pt>
                <c:pt idx="1">
                  <c:v>PayPal</c:v>
                </c:pt>
                <c:pt idx="2">
                  <c:v>Bank Transfer</c:v>
                </c:pt>
                <c:pt idx="3">
                  <c:v>Credit Card</c:v>
                </c:pt>
              </c:strCache>
            </c:strRef>
          </c:cat>
          <c:val>
            <c:numRef>
              <c:f>'payment dist'!$F$6:$F$10</c:f>
              <c:numCache>
                <c:formatCode>General</c:formatCode>
                <c:ptCount val="4"/>
                <c:pt idx="0">
                  <c:v>33</c:v>
                </c:pt>
                <c:pt idx="1">
                  <c:v>24</c:v>
                </c:pt>
                <c:pt idx="2">
                  <c:v>22</c:v>
                </c:pt>
                <c:pt idx="3">
                  <c:v>20</c:v>
                </c:pt>
              </c:numCache>
            </c:numRef>
          </c:val>
          <c:extLst>
            <c:ext xmlns:c16="http://schemas.microsoft.com/office/drawing/2014/chart" uri="{C3380CC4-5D6E-409C-BE32-E72D297353CC}">
              <c16:uniqueId val="{00000000-A733-4F67-A426-D0A927C983B8}"/>
            </c:ext>
          </c:extLst>
        </c:ser>
        <c:dLbls>
          <c:showLegendKey val="0"/>
          <c:showVal val="0"/>
          <c:showCatName val="0"/>
          <c:showSerName val="0"/>
          <c:showPercent val="0"/>
          <c:showBubbleSize val="0"/>
        </c:dLbls>
        <c:gapWidth val="150"/>
        <c:overlap val="100"/>
        <c:axId val="553840927"/>
        <c:axId val="553841887"/>
      </c:barChart>
      <c:catAx>
        <c:axId val="55384092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841887"/>
        <c:crosses val="autoZero"/>
        <c:auto val="1"/>
        <c:lblAlgn val="ctr"/>
        <c:lblOffset val="100"/>
        <c:noMultiLvlLbl val="0"/>
      </c:catAx>
      <c:valAx>
        <c:axId val="553841887"/>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5384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1.xlsx]revenue by category!PivotTable2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layout>
        <c:manualLayout>
          <c:xMode val="edge"/>
          <c:yMode val="edge"/>
          <c:x val="0.26148651873061318"/>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pivotFmt>
      <c:pivotFmt>
        <c:idx val="99"/>
        <c:spPr>
          <a:solidFill>
            <a:schemeClr val="accent1"/>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
        <c:idx val="102"/>
        <c:spPr>
          <a:solidFill>
            <a:schemeClr val="accent1"/>
          </a:solidFill>
          <a:ln>
            <a:noFill/>
          </a:ln>
          <a:effectLst/>
        </c:spPr>
      </c:pivotFmt>
      <c:pivotFmt>
        <c:idx val="103"/>
        <c:spPr>
          <a:solidFill>
            <a:schemeClr val="accent1"/>
          </a:solidFill>
          <a:ln>
            <a:noFill/>
          </a:ln>
          <a:effectLst/>
        </c:spPr>
      </c:pivotFmt>
      <c:pivotFmt>
        <c:idx val="10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74255003413862"/>
          <c:y val="0.24498730224222695"/>
          <c:w val="0.85128607344422946"/>
          <c:h val="0.52314368760677188"/>
        </c:manualLayout>
      </c:layout>
      <c:barChart>
        <c:barDir val="col"/>
        <c:grouping val="stacked"/>
        <c:varyColors val="0"/>
        <c:ser>
          <c:idx val="0"/>
          <c:order val="0"/>
          <c:tx>
            <c:strRef>
              <c:f>'revenue by category'!$B$3</c:f>
              <c:strCache>
                <c:ptCount val="1"/>
                <c:pt idx="0">
                  <c:v>Total</c:v>
                </c:pt>
              </c:strCache>
            </c:strRef>
          </c:tx>
          <c:spPr>
            <a:solidFill>
              <a:schemeClr val="accent1"/>
            </a:solidFill>
            <a:ln>
              <a:noFill/>
            </a:ln>
            <a:effectLst/>
          </c:spPr>
          <c:invertIfNegative val="0"/>
          <c:cat>
            <c:strRef>
              <c:f>'revenue by category'!$A$4:$A$9</c:f>
              <c:strCache>
                <c:ptCount val="5"/>
                <c:pt idx="0">
                  <c:v>Books</c:v>
                </c:pt>
                <c:pt idx="1">
                  <c:v>Home</c:v>
                </c:pt>
                <c:pt idx="2">
                  <c:v>Clothing</c:v>
                </c:pt>
                <c:pt idx="3">
                  <c:v>Sports</c:v>
                </c:pt>
                <c:pt idx="4">
                  <c:v>Electronics</c:v>
                </c:pt>
              </c:strCache>
            </c:strRef>
          </c:cat>
          <c:val>
            <c:numRef>
              <c:f>'revenue by category'!$B$4:$B$9</c:f>
              <c:numCache>
                <c:formatCode>General</c:formatCode>
                <c:ptCount val="5"/>
                <c:pt idx="0">
                  <c:v>40073.31</c:v>
                </c:pt>
                <c:pt idx="1">
                  <c:v>31017.45</c:v>
                </c:pt>
                <c:pt idx="2">
                  <c:v>27599.190000000002</c:v>
                </c:pt>
                <c:pt idx="3">
                  <c:v>21413.790000000005</c:v>
                </c:pt>
                <c:pt idx="4">
                  <c:v>12330.129999999997</c:v>
                </c:pt>
              </c:numCache>
            </c:numRef>
          </c:val>
          <c:extLst>
            <c:ext xmlns:c16="http://schemas.microsoft.com/office/drawing/2014/chart" uri="{C3380CC4-5D6E-409C-BE32-E72D297353CC}">
              <c16:uniqueId val="{00000000-F569-413F-8F25-89B425FBBC7F}"/>
            </c:ext>
          </c:extLst>
        </c:ser>
        <c:dLbls>
          <c:showLegendKey val="0"/>
          <c:showVal val="0"/>
          <c:showCatName val="0"/>
          <c:showSerName val="0"/>
          <c:showPercent val="0"/>
          <c:showBubbleSize val="0"/>
        </c:dLbls>
        <c:gapWidth val="150"/>
        <c:overlap val="100"/>
        <c:axId val="640131183"/>
        <c:axId val="640130703"/>
      </c:barChart>
      <c:catAx>
        <c:axId val="640131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130703"/>
        <c:crosses val="autoZero"/>
        <c:auto val="1"/>
        <c:lblAlgn val="ctr"/>
        <c:lblOffset val="100"/>
        <c:noMultiLvlLbl val="0"/>
      </c:catAx>
      <c:valAx>
        <c:axId val="64013070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Revenue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crossAx val="64013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60000"/>
            <a:lumOff val="40000"/>
            <a:tint val="66000"/>
            <a:satMod val="160000"/>
          </a:schemeClr>
        </a:gs>
        <a:gs pos="50000">
          <a:schemeClr val="accent4">
            <a:lumMod val="60000"/>
            <a:lumOff val="40000"/>
            <a:tint val="44500"/>
            <a:satMod val="160000"/>
          </a:schemeClr>
        </a:gs>
        <a:gs pos="100000">
          <a:schemeClr val="accent4">
            <a:lumMod val="60000"/>
            <a:lumOff val="40000"/>
            <a:tint val="23500"/>
            <a:satMod val="160000"/>
          </a:schemeClr>
        </a:gs>
      </a:gsLst>
      <a:lin ang="5400000" scaled="1"/>
      <a:tileRect/>
    </a:gradFill>
    <a:ln w="9525" cap="flat" cmpd="sng" algn="ctr">
      <a:solidFill>
        <a:schemeClr val="accent4"/>
      </a:solidFill>
      <a:round/>
    </a:ln>
    <a:effectLst>
      <a:glow rad="635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1.xlsx]top 10 product revenue!PivotTable3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Top 10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product revenue'!$D$4</c:f>
              <c:strCache>
                <c:ptCount val="1"/>
                <c:pt idx="0">
                  <c:v>Total</c:v>
                </c:pt>
              </c:strCache>
            </c:strRef>
          </c:tx>
          <c:spPr>
            <a:solidFill>
              <a:schemeClr val="accent1"/>
            </a:solidFill>
            <a:ln>
              <a:noFill/>
            </a:ln>
            <a:effectLst/>
          </c:spPr>
          <c:invertIfNegative val="0"/>
          <c:cat>
            <c:strRef>
              <c:f>'top 10 product revenue'!$C$5:$C$15</c:f>
              <c:strCache>
                <c:ptCount val="10"/>
                <c:pt idx="0">
                  <c:v>Shoes</c:v>
                </c:pt>
                <c:pt idx="1">
                  <c:v>Comics</c:v>
                </c:pt>
                <c:pt idx="2">
                  <c:v>Lamp</c:v>
                </c:pt>
                <c:pt idx="3">
                  <c:v>Biography</c:v>
                </c:pt>
                <c:pt idx="4">
                  <c:v>Blender</c:v>
                </c:pt>
                <c:pt idx="5">
                  <c:v>Science</c:v>
                </c:pt>
                <c:pt idx="6">
                  <c:v>Basketball</c:v>
                </c:pt>
                <c:pt idx="7">
                  <c:v>Fiction</c:v>
                </c:pt>
                <c:pt idx="8">
                  <c:v>Football</c:v>
                </c:pt>
                <c:pt idx="9">
                  <c:v>T-shirt</c:v>
                </c:pt>
              </c:strCache>
            </c:strRef>
          </c:cat>
          <c:val>
            <c:numRef>
              <c:f>'top 10 product revenue'!$D$5:$D$15</c:f>
              <c:numCache>
                <c:formatCode>General</c:formatCode>
                <c:ptCount val="10"/>
                <c:pt idx="0">
                  <c:v>14728.67</c:v>
                </c:pt>
                <c:pt idx="1">
                  <c:v>14728.640000000001</c:v>
                </c:pt>
                <c:pt idx="2">
                  <c:v>14306.440000000002</c:v>
                </c:pt>
                <c:pt idx="3">
                  <c:v>9577.39</c:v>
                </c:pt>
                <c:pt idx="4">
                  <c:v>8075.3799999999992</c:v>
                </c:pt>
                <c:pt idx="5">
                  <c:v>8005.71</c:v>
                </c:pt>
                <c:pt idx="6">
                  <c:v>7837.77</c:v>
                </c:pt>
                <c:pt idx="7">
                  <c:v>7761.57</c:v>
                </c:pt>
                <c:pt idx="8">
                  <c:v>5707.1900000000005</c:v>
                </c:pt>
                <c:pt idx="9">
                  <c:v>5272.6100000000006</c:v>
                </c:pt>
              </c:numCache>
            </c:numRef>
          </c:val>
          <c:extLst>
            <c:ext xmlns:c16="http://schemas.microsoft.com/office/drawing/2014/chart" uri="{C3380CC4-5D6E-409C-BE32-E72D297353CC}">
              <c16:uniqueId val="{00000000-361B-4A91-87BC-EE2F36174B88}"/>
            </c:ext>
          </c:extLst>
        </c:ser>
        <c:dLbls>
          <c:showLegendKey val="0"/>
          <c:showVal val="0"/>
          <c:showCatName val="0"/>
          <c:showSerName val="0"/>
          <c:showPercent val="0"/>
          <c:showBubbleSize val="0"/>
        </c:dLbls>
        <c:gapWidth val="150"/>
        <c:overlap val="100"/>
        <c:axId val="714300463"/>
        <c:axId val="422121871"/>
      </c:barChart>
      <c:catAx>
        <c:axId val="7143004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121871"/>
        <c:crosses val="autoZero"/>
        <c:auto val="1"/>
        <c:lblAlgn val="ctr"/>
        <c:lblOffset val="100"/>
        <c:noMultiLvlLbl val="0"/>
      </c:catAx>
      <c:valAx>
        <c:axId val="422121871"/>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1430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60000"/>
            <a:lumOff val="40000"/>
            <a:tint val="66000"/>
            <a:satMod val="160000"/>
          </a:schemeClr>
        </a:gs>
        <a:gs pos="50000">
          <a:schemeClr val="accent6">
            <a:lumMod val="60000"/>
            <a:lumOff val="40000"/>
            <a:tint val="44500"/>
            <a:satMod val="160000"/>
          </a:schemeClr>
        </a:gs>
        <a:gs pos="100000">
          <a:schemeClr val="accent6">
            <a:lumMod val="60000"/>
            <a:lumOff val="40000"/>
            <a:tint val="23500"/>
            <a:satMod val="160000"/>
          </a:schemeClr>
        </a:gs>
      </a:gsLst>
      <a:lin ang="5400000" scaled="1"/>
      <a:tileRect/>
    </a:gradFill>
    <a:ln w="9525" cap="flat" cmpd="sng" algn="ctr">
      <a:solidFill>
        <a:schemeClr val="accent6"/>
      </a:solidFill>
      <a:round/>
    </a:ln>
    <a:effectLst>
      <a:glow rad="635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1.xlsx]monthly revenue!PivotTable5</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revenue'!$E$6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'monthly revenue'!$D$7:$D$19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revenue'!$E$7:$E$19</c:f>
              <c:numCache>
                <c:formatCode>0.00</c:formatCode>
                <c:ptCount val="12"/>
                <c:pt idx="0">
                  <c:v>13383.470000000001</c:v>
                </c:pt>
                <c:pt idx="1">
                  <c:v>19391.34</c:v>
                </c:pt>
                <c:pt idx="2">
                  <c:v>5675.8600000000006</c:v>
                </c:pt>
                <c:pt idx="3">
                  <c:v>1200.28</c:v>
                </c:pt>
                <c:pt idx="4">
                  <c:v>12681.01</c:v>
                </c:pt>
                <c:pt idx="5">
                  <c:v>16376.43</c:v>
                </c:pt>
                <c:pt idx="6">
                  <c:v>15092.8</c:v>
                </c:pt>
                <c:pt idx="7">
                  <c:v>5543.1100000000006</c:v>
                </c:pt>
                <c:pt idx="8">
                  <c:v>7471.68</c:v>
                </c:pt>
                <c:pt idx="9">
                  <c:v>15883.35</c:v>
                </c:pt>
                <c:pt idx="10">
                  <c:v>12706.73</c:v>
                </c:pt>
                <c:pt idx="11">
                  <c:v>7027.8099999999995</c:v>
                </c:pt>
              </c:numCache>
            </c:numRef>
          </c:val>
          <c:smooth val="0"/>
          <c:extLst>
            <c:ext xmlns:c16="http://schemas.microsoft.com/office/drawing/2014/chart" uri="{C3380CC4-5D6E-409C-BE32-E72D297353CC}">
              <c16:uniqueId val="{00000001-8208-456C-B3A2-D70CC39A614B}"/>
            </c:ext>
          </c:extLst>
        </c:ser>
        <c:dLbls>
          <c:showLegendKey val="0"/>
          <c:showVal val="0"/>
          <c:showCatName val="0"/>
          <c:showSerName val="0"/>
          <c:showPercent val="0"/>
          <c:showBubbleSize val="0"/>
        </c:dLbls>
        <c:marker val="1"/>
        <c:smooth val="0"/>
        <c:axId val="640123983"/>
        <c:axId val="640113423"/>
      </c:lineChart>
      <c:catAx>
        <c:axId val="64012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113423"/>
        <c:crosses val="autoZero"/>
        <c:auto val="1"/>
        <c:lblAlgn val="ctr"/>
        <c:lblOffset val="100"/>
        <c:noMultiLvlLbl val="0"/>
      </c:catAx>
      <c:valAx>
        <c:axId val="640113423"/>
        <c:scaling>
          <c:orientation val="minMax"/>
        </c:scaling>
        <c:delete val="1"/>
        <c:axPos val="l"/>
        <c:numFmt formatCode="0.00" sourceLinked="1"/>
        <c:majorTickMark val="none"/>
        <c:minorTickMark val="none"/>
        <c:tickLblPos val="nextTo"/>
        <c:crossAx val="640123983"/>
        <c:crosses val="autoZero"/>
        <c:crossBetween val="between"/>
      </c:valAx>
      <c:spPr>
        <a:noFill/>
        <a:ln>
          <a:noFill/>
        </a:ln>
        <a:effectLst>
          <a:glow rad="101600">
            <a:schemeClr val="accent1">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40000"/>
            <a:lumOff val="60000"/>
            <a:shade val="30000"/>
            <a:satMod val="115000"/>
            <a:tint val="66000"/>
            <a:satMod val="160000"/>
          </a:schemeClr>
        </a:gs>
        <a:gs pos="50000">
          <a:schemeClr val="accent5">
            <a:lumMod val="40000"/>
            <a:lumOff val="60000"/>
            <a:shade val="30000"/>
            <a:satMod val="115000"/>
            <a:tint val="44500"/>
            <a:satMod val="160000"/>
          </a:schemeClr>
        </a:gs>
        <a:gs pos="100000">
          <a:schemeClr val="accent5">
            <a:lumMod val="40000"/>
            <a:lumOff val="60000"/>
            <a:shade val="30000"/>
            <a:satMod val="115000"/>
            <a:tint val="23500"/>
            <a:satMod val="160000"/>
          </a:schemeClr>
        </a:gs>
      </a:gsLst>
      <a:lin ang="5400000" scaled="1"/>
      <a:tileRect/>
    </a:gradFill>
    <a:ln w="9525" cap="flat" cmpd="sng" algn="ctr">
      <a:solidFill>
        <a:schemeClr val="accent5"/>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1.xlsx]status dist.!PivotTable7</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Order</a:t>
            </a:r>
            <a:r>
              <a:rPr lang="en-US" sz="1600" baseline="0"/>
              <a:t> Status Distribution</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manualLayout>
          <c:layoutTarget val="inner"/>
          <c:xMode val="edge"/>
          <c:yMode val="edge"/>
          <c:x val="0.19887927734520469"/>
          <c:y val="0.19326133595657136"/>
          <c:w val="0.63087701454325806"/>
          <c:h val="0.76606481481481481"/>
        </c:manualLayout>
      </c:layout>
      <c:doughnutChart>
        <c:varyColors val="1"/>
        <c:ser>
          <c:idx val="0"/>
          <c:order val="0"/>
          <c:tx>
            <c:strRef>
              <c:f>'status dist.'!$E$3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93-41B5-83DA-259E7DAD1B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93-41B5-83DA-259E7DAD1B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93-41B5-83DA-259E7DAD1BDA}"/>
              </c:ext>
            </c:extLst>
          </c:dPt>
          <c:cat>
            <c:strRef>
              <c:f>'status dist.'!$D$4:$D$7</c:f>
              <c:strCache>
                <c:ptCount val="3"/>
                <c:pt idx="0">
                  <c:v>Completed</c:v>
                </c:pt>
                <c:pt idx="1">
                  <c:v>In Progress</c:v>
                </c:pt>
                <c:pt idx="2">
                  <c:v>Unsuccessful</c:v>
                </c:pt>
              </c:strCache>
            </c:strRef>
          </c:cat>
          <c:val>
            <c:numRef>
              <c:f>'status dist.'!$E$4:$E$7</c:f>
              <c:numCache>
                <c:formatCode>General</c:formatCode>
                <c:ptCount val="3"/>
                <c:pt idx="0">
                  <c:v>11</c:v>
                </c:pt>
                <c:pt idx="1">
                  <c:v>47</c:v>
                </c:pt>
                <c:pt idx="2">
                  <c:v>41</c:v>
                </c:pt>
              </c:numCache>
            </c:numRef>
          </c:val>
          <c:extLst>
            <c:ext xmlns:c16="http://schemas.microsoft.com/office/drawing/2014/chart" uri="{C3380CC4-5D6E-409C-BE32-E72D297353CC}">
              <c16:uniqueId val="{00000006-8293-41B5-83DA-259E7DAD1BD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BFB79"/>
        </a:gs>
        <a:gs pos="50000">
          <a:schemeClr val="accent4">
            <a:lumMod val="60000"/>
            <a:lumOff val="40000"/>
            <a:tint val="44500"/>
            <a:satMod val="160000"/>
          </a:schemeClr>
        </a:gs>
        <a:gs pos="100000">
          <a:schemeClr val="accent4">
            <a:lumMod val="60000"/>
            <a:lumOff val="40000"/>
            <a:tint val="23500"/>
            <a:satMod val="160000"/>
          </a:schemeClr>
        </a:gs>
      </a:gsLst>
      <a:lin ang="5400000" scaled="1"/>
    </a:gradFill>
    <a:ln w="9525" cap="flat" cmpd="sng" algn="ctr">
      <a:solidFill>
        <a:srgbClr val="FFFF00"/>
      </a:solidFill>
      <a:round/>
    </a:ln>
    <a:effectLst>
      <a:glow rad="635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1.xlsx]payment dist!PivotTable8</c:name>
    <c:fmtId val="6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Payment</a:t>
            </a:r>
            <a:r>
              <a:rPr lang="en-US" sz="1600" baseline="0"/>
              <a:t> Method Distribution</a:t>
            </a:r>
            <a:endParaRPr lang="en-US" sz="1600"/>
          </a:p>
        </c:rich>
      </c:tx>
      <c:layout>
        <c:manualLayout>
          <c:xMode val="edge"/>
          <c:yMode val="edge"/>
          <c:x val="0.123730221918637"/>
          <c:y val="4.89083552415379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'payment dist'!$F$5</c:f>
              <c:strCache>
                <c:ptCount val="1"/>
                <c:pt idx="0">
                  <c:v>Total</c:v>
                </c:pt>
              </c:strCache>
            </c:strRef>
          </c:tx>
          <c:spPr>
            <a:solidFill>
              <a:schemeClr val="accent1"/>
            </a:solidFill>
            <a:ln>
              <a:noFill/>
            </a:ln>
            <a:effectLst/>
          </c:spPr>
          <c:invertIfNegative val="0"/>
          <c:cat>
            <c:strRef>
              <c:f>'payment dist'!$E$6:$E$10</c:f>
              <c:strCache>
                <c:ptCount val="4"/>
                <c:pt idx="0">
                  <c:v>Cash on Delivery</c:v>
                </c:pt>
                <c:pt idx="1">
                  <c:v>PayPal</c:v>
                </c:pt>
                <c:pt idx="2">
                  <c:v>Bank Transfer</c:v>
                </c:pt>
                <c:pt idx="3">
                  <c:v>Credit Card</c:v>
                </c:pt>
              </c:strCache>
            </c:strRef>
          </c:cat>
          <c:val>
            <c:numRef>
              <c:f>'payment dist'!$F$6:$F$10</c:f>
              <c:numCache>
                <c:formatCode>General</c:formatCode>
                <c:ptCount val="4"/>
                <c:pt idx="0">
                  <c:v>33</c:v>
                </c:pt>
                <c:pt idx="1">
                  <c:v>24</c:v>
                </c:pt>
                <c:pt idx="2">
                  <c:v>22</c:v>
                </c:pt>
                <c:pt idx="3">
                  <c:v>20</c:v>
                </c:pt>
              </c:numCache>
            </c:numRef>
          </c:val>
          <c:extLst>
            <c:ext xmlns:c16="http://schemas.microsoft.com/office/drawing/2014/chart" uri="{C3380CC4-5D6E-409C-BE32-E72D297353CC}">
              <c16:uniqueId val="{00000000-A99C-4DF0-9266-2C51EB13A991}"/>
            </c:ext>
          </c:extLst>
        </c:ser>
        <c:dLbls>
          <c:showLegendKey val="0"/>
          <c:showVal val="0"/>
          <c:showCatName val="0"/>
          <c:showSerName val="0"/>
          <c:showPercent val="0"/>
          <c:showBubbleSize val="0"/>
        </c:dLbls>
        <c:gapWidth val="150"/>
        <c:overlap val="100"/>
        <c:axId val="553840927"/>
        <c:axId val="553841887"/>
      </c:barChart>
      <c:catAx>
        <c:axId val="55384092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841887"/>
        <c:crosses val="autoZero"/>
        <c:auto val="1"/>
        <c:lblAlgn val="ctr"/>
        <c:lblOffset val="100"/>
        <c:noMultiLvlLbl val="0"/>
      </c:catAx>
      <c:valAx>
        <c:axId val="553841887"/>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5384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40000"/>
            <a:lumOff val="60000"/>
          </a:schemeClr>
        </a:gs>
        <a:gs pos="100000">
          <a:schemeClr val="accent4">
            <a:lumMod val="60000"/>
            <a:lumOff val="40000"/>
            <a:tint val="44500"/>
            <a:satMod val="160000"/>
          </a:schemeClr>
        </a:gs>
        <a:gs pos="100000">
          <a:schemeClr val="accent4">
            <a:lumMod val="60000"/>
            <a:lumOff val="40000"/>
            <a:tint val="23500"/>
            <a:satMod val="160000"/>
          </a:schemeClr>
        </a:gs>
      </a:gsLst>
      <a:lin ang="5400000" scaled="1"/>
      <a:tileRect/>
    </a:gradFill>
    <a:ln w="9525" cap="flat" cmpd="sng" algn="ctr">
      <a:solidFill>
        <a:schemeClr val="accent2">
          <a:lumMod val="75000"/>
        </a:schemeClr>
      </a:solidFill>
      <a:round/>
    </a:ln>
    <a:effectLst>
      <a:glow rad="635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image" Target="../media/image2.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11.xml"/><Relationship Id="rId10" Type="http://schemas.openxmlformats.org/officeDocument/2006/relationships/image" Target="../media/image5.svg"/><Relationship Id="rId4" Type="http://schemas.openxmlformats.org/officeDocument/2006/relationships/chart" Target="../charts/chart10.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6</xdr:col>
      <xdr:colOff>152400</xdr:colOff>
      <xdr:row>6</xdr:row>
      <xdr:rowOff>41910</xdr:rowOff>
    </xdr:from>
    <xdr:to>
      <xdr:col>13</xdr:col>
      <xdr:colOff>457200</xdr:colOff>
      <xdr:row>21</xdr:row>
      <xdr:rowOff>41910</xdr:rowOff>
    </xdr:to>
    <xdr:graphicFrame macro="">
      <xdr:nvGraphicFramePr>
        <xdr:cNvPr id="2" name="Chart 1">
          <a:extLst>
            <a:ext uri="{FF2B5EF4-FFF2-40B4-BE49-F238E27FC236}">
              <a16:creationId xmlns:a16="http://schemas.microsoft.com/office/drawing/2014/main" id="{3C6F222D-167D-77BC-9003-EF0A12C76B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205740</xdr:colOff>
      <xdr:row>5</xdr:row>
      <xdr:rowOff>163830</xdr:rowOff>
    </xdr:from>
    <xdr:to>
      <xdr:col>13</xdr:col>
      <xdr:colOff>426720</xdr:colOff>
      <xdr:row>20</xdr:row>
      <xdr:rowOff>163830</xdr:rowOff>
    </xdr:to>
    <xdr:graphicFrame macro="">
      <xdr:nvGraphicFramePr>
        <xdr:cNvPr id="3" name="Chart 2">
          <a:extLst>
            <a:ext uri="{FF2B5EF4-FFF2-40B4-BE49-F238E27FC236}">
              <a16:creationId xmlns:a16="http://schemas.microsoft.com/office/drawing/2014/main" id="{8C452246-0253-5074-A55E-8A03170201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152400</xdr:colOff>
      <xdr:row>5</xdr:row>
      <xdr:rowOff>34290</xdr:rowOff>
    </xdr:from>
    <xdr:to>
      <xdr:col>13</xdr:col>
      <xdr:colOff>457200</xdr:colOff>
      <xdr:row>20</xdr:row>
      <xdr:rowOff>34290</xdr:rowOff>
    </xdr:to>
    <xdr:graphicFrame macro="">
      <xdr:nvGraphicFramePr>
        <xdr:cNvPr id="3" name="Chart 2">
          <a:extLst>
            <a:ext uri="{FF2B5EF4-FFF2-40B4-BE49-F238E27FC236}">
              <a16:creationId xmlns:a16="http://schemas.microsoft.com/office/drawing/2014/main" id="{3856217F-46B7-3CE8-C2C9-4A96F3D530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434340</xdr:colOff>
      <xdr:row>2</xdr:row>
      <xdr:rowOff>163830</xdr:rowOff>
    </xdr:from>
    <xdr:to>
      <xdr:col>14</xdr:col>
      <xdr:colOff>129540</xdr:colOff>
      <xdr:row>17</xdr:row>
      <xdr:rowOff>163830</xdr:rowOff>
    </xdr:to>
    <xdr:graphicFrame macro="">
      <xdr:nvGraphicFramePr>
        <xdr:cNvPr id="4" name="Chart 3">
          <a:extLst>
            <a:ext uri="{FF2B5EF4-FFF2-40B4-BE49-F238E27FC236}">
              <a16:creationId xmlns:a16="http://schemas.microsoft.com/office/drawing/2014/main" id="{142EDA05-D434-2AB3-6F20-9FF5A1B697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7620</xdr:colOff>
      <xdr:row>2</xdr:row>
      <xdr:rowOff>3810</xdr:rowOff>
    </xdr:from>
    <xdr:to>
      <xdr:col>14</xdr:col>
      <xdr:colOff>381000</xdr:colOff>
      <xdr:row>17</xdr:row>
      <xdr:rowOff>3810</xdr:rowOff>
    </xdr:to>
    <xdr:graphicFrame macro="">
      <xdr:nvGraphicFramePr>
        <xdr:cNvPr id="2" name="Chart 1">
          <a:extLst>
            <a:ext uri="{FF2B5EF4-FFF2-40B4-BE49-F238E27FC236}">
              <a16:creationId xmlns:a16="http://schemas.microsoft.com/office/drawing/2014/main" id="{630602B5-5C78-4DA6-8255-920785530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411480</xdr:colOff>
      <xdr:row>8</xdr:row>
      <xdr:rowOff>99060</xdr:rowOff>
    </xdr:from>
    <xdr:to>
      <xdr:col>3</xdr:col>
      <xdr:colOff>411480</xdr:colOff>
      <xdr:row>22</xdr:row>
      <xdr:rowOff>5715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05283219-DFF3-29B7-3655-C764C1BE589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11480" y="1562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274320</xdr:colOff>
      <xdr:row>3</xdr:row>
      <xdr:rowOff>156210</xdr:rowOff>
    </xdr:from>
    <xdr:to>
      <xdr:col>16</xdr:col>
      <xdr:colOff>388620</xdr:colOff>
      <xdr:row>18</xdr:row>
      <xdr:rowOff>156210</xdr:rowOff>
    </xdr:to>
    <xdr:graphicFrame macro="">
      <xdr:nvGraphicFramePr>
        <xdr:cNvPr id="2" name="Chart 1">
          <a:extLst>
            <a:ext uri="{FF2B5EF4-FFF2-40B4-BE49-F238E27FC236}">
              <a16:creationId xmlns:a16="http://schemas.microsoft.com/office/drawing/2014/main" id="{26861E61-E07D-89C1-7808-14E06A236F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129540</xdr:colOff>
      <xdr:row>11</xdr:row>
      <xdr:rowOff>0</xdr:rowOff>
    </xdr:from>
    <xdr:to>
      <xdr:col>3</xdr:col>
      <xdr:colOff>129540</xdr:colOff>
      <xdr:row>24</xdr:row>
      <xdr:rowOff>89535</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9A83797B-AB48-5D38-D07F-C3D15F7AE3D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9540" y="2011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61232</xdr:colOff>
      <xdr:row>0</xdr:row>
      <xdr:rowOff>68035</xdr:rowOff>
    </xdr:from>
    <xdr:to>
      <xdr:col>18</xdr:col>
      <xdr:colOff>27213</xdr:colOff>
      <xdr:row>3</xdr:row>
      <xdr:rowOff>47625</xdr:rowOff>
    </xdr:to>
    <xdr:sp macro="" textlink="">
      <xdr:nvSpPr>
        <xdr:cNvPr id="4" name="Rectangle: Rounded Corners 3">
          <a:extLst>
            <a:ext uri="{FF2B5EF4-FFF2-40B4-BE49-F238E27FC236}">
              <a16:creationId xmlns:a16="http://schemas.microsoft.com/office/drawing/2014/main" id="{029B4B57-AB1E-EAF8-D2CC-AE8FB459DA8E}"/>
            </a:ext>
          </a:extLst>
        </xdr:cNvPr>
        <xdr:cNvSpPr/>
      </xdr:nvSpPr>
      <xdr:spPr>
        <a:xfrm>
          <a:off x="61232" y="68035"/>
          <a:ext cx="10987767" cy="530679"/>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E-Commerce Sales Dashbord</a:t>
          </a:r>
        </a:p>
      </xdr:txBody>
    </xdr:sp>
    <xdr:clientData/>
  </xdr:twoCellAnchor>
  <xdr:twoCellAnchor>
    <xdr:from>
      <xdr:col>0</xdr:col>
      <xdr:colOff>77561</xdr:colOff>
      <xdr:row>3</xdr:row>
      <xdr:rowOff>77558</xdr:rowOff>
    </xdr:from>
    <xdr:to>
      <xdr:col>11</xdr:col>
      <xdr:colOff>88446</xdr:colOff>
      <xdr:row>8</xdr:row>
      <xdr:rowOff>176893</xdr:rowOff>
    </xdr:to>
    <xdr:sp macro="" textlink="">
      <xdr:nvSpPr>
        <xdr:cNvPr id="11" name="Rectangle: Rounded Corners 10">
          <a:extLst>
            <a:ext uri="{FF2B5EF4-FFF2-40B4-BE49-F238E27FC236}">
              <a16:creationId xmlns:a16="http://schemas.microsoft.com/office/drawing/2014/main" id="{E141E5BA-290A-4C18-8BE8-1B569D296983}"/>
            </a:ext>
          </a:extLst>
        </xdr:cNvPr>
        <xdr:cNvSpPr/>
      </xdr:nvSpPr>
      <xdr:spPr>
        <a:xfrm>
          <a:off x="77561" y="628647"/>
          <a:ext cx="6746421" cy="1017817"/>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122465</xdr:colOff>
      <xdr:row>9</xdr:row>
      <xdr:rowOff>54428</xdr:rowOff>
    </xdr:from>
    <xdr:to>
      <xdr:col>5</xdr:col>
      <xdr:colOff>455840</xdr:colOff>
      <xdr:row>17</xdr:row>
      <xdr:rowOff>102054</xdr:rowOff>
    </xdr:to>
    <xdr:graphicFrame macro="">
      <xdr:nvGraphicFramePr>
        <xdr:cNvPr id="15" name="Chart 14">
          <a:extLst>
            <a:ext uri="{FF2B5EF4-FFF2-40B4-BE49-F238E27FC236}">
              <a16:creationId xmlns:a16="http://schemas.microsoft.com/office/drawing/2014/main" id="{5DCC0B07-63E4-4970-85BA-47A02C628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551089</xdr:colOff>
      <xdr:row>9</xdr:row>
      <xdr:rowOff>81643</xdr:rowOff>
    </xdr:from>
    <xdr:to>
      <xdr:col>11</xdr:col>
      <xdr:colOff>68035</xdr:colOff>
      <xdr:row>26</xdr:row>
      <xdr:rowOff>102054</xdr:rowOff>
    </xdr:to>
    <xdr:graphicFrame macro="">
      <xdr:nvGraphicFramePr>
        <xdr:cNvPr id="17" name="Chart 16">
          <a:extLst>
            <a:ext uri="{FF2B5EF4-FFF2-40B4-BE49-F238E27FC236}">
              <a16:creationId xmlns:a16="http://schemas.microsoft.com/office/drawing/2014/main" id="{61052425-B7B2-48F8-B86D-66E9FC692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183697</xdr:colOff>
      <xdr:row>3</xdr:row>
      <xdr:rowOff>122465</xdr:rowOff>
    </xdr:from>
    <xdr:to>
      <xdr:col>18</xdr:col>
      <xdr:colOff>6803</xdr:colOff>
      <xdr:row>13</xdr:row>
      <xdr:rowOff>149679</xdr:rowOff>
    </xdr:to>
    <xdr:graphicFrame macro="">
      <xdr:nvGraphicFramePr>
        <xdr:cNvPr id="18" name="Chart 17">
          <a:extLst>
            <a:ext uri="{FF2B5EF4-FFF2-40B4-BE49-F238E27FC236}">
              <a16:creationId xmlns:a16="http://schemas.microsoft.com/office/drawing/2014/main" id="{F4EA1A80-3F20-460E-9545-006E1BE3D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183696</xdr:colOff>
      <xdr:row>14</xdr:row>
      <xdr:rowOff>54429</xdr:rowOff>
    </xdr:from>
    <xdr:to>
      <xdr:col>17</xdr:col>
      <xdr:colOff>605518</xdr:colOff>
      <xdr:row>26</xdr:row>
      <xdr:rowOff>108858</xdr:rowOff>
    </xdr:to>
    <xdr:graphicFrame macro="">
      <xdr:nvGraphicFramePr>
        <xdr:cNvPr id="20" name="Chart 19">
          <a:extLst>
            <a:ext uri="{FF2B5EF4-FFF2-40B4-BE49-F238E27FC236}">
              <a16:creationId xmlns:a16="http://schemas.microsoft.com/office/drawing/2014/main" id="{C368069E-6ABE-4D25-BA17-6187F19B3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115662</xdr:colOff>
      <xdr:row>17</xdr:row>
      <xdr:rowOff>170091</xdr:rowOff>
    </xdr:from>
    <xdr:to>
      <xdr:col>5</xdr:col>
      <xdr:colOff>449038</xdr:colOff>
      <xdr:row>26</xdr:row>
      <xdr:rowOff>108857</xdr:rowOff>
    </xdr:to>
    <xdr:graphicFrame macro="">
      <xdr:nvGraphicFramePr>
        <xdr:cNvPr id="21" name="Chart 20">
          <a:extLst>
            <a:ext uri="{FF2B5EF4-FFF2-40B4-BE49-F238E27FC236}">
              <a16:creationId xmlns:a16="http://schemas.microsoft.com/office/drawing/2014/main" id="{88034995-C13D-40B6-B0EF-7B4CBD1A8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27214</xdr:colOff>
      <xdr:row>6</xdr:row>
      <xdr:rowOff>166004</xdr:rowOff>
    </xdr:from>
    <xdr:to>
      <xdr:col>1</xdr:col>
      <xdr:colOff>292554</xdr:colOff>
      <xdr:row>8</xdr:row>
      <xdr:rowOff>63952</xdr:rowOff>
    </xdr:to>
    <xdr:pic>
      <xdr:nvPicPr>
        <xdr:cNvPr id="30" name="Graphic 29" descr="Shopping cart with solid fill">
          <a:extLst>
            <a:ext uri="{FF2B5EF4-FFF2-40B4-BE49-F238E27FC236}">
              <a16:creationId xmlns:a16="http://schemas.microsoft.com/office/drawing/2014/main" id="{43A4D25B-1E1B-393A-5D5A-69534E20D77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39535" y="1268183"/>
          <a:ext cx="265340" cy="265340"/>
        </a:xfrm>
        <a:prstGeom prst="rect">
          <a:avLst/>
        </a:prstGeom>
      </xdr:spPr>
    </xdr:pic>
    <xdr:clientData/>
  </xdr:twoCellAnchor>
  <xdr:twoCellAnchor editAs="oneCell">
    <xdr:from>
      <xdr:col>4</xdr:col>
      <xdr:colOff>197625</xdr:colOff>
      <xdr:row>6</xdr:row>
      <xdr:rowOff>173454</xdr:rowOff>
    </xdr:from>
    <xdr:to>
      <xdr:col>4</xdr:col>
      <xdr:colOff>551088</xdr:colOff>
      <xdr:row>8</xdr:row>
      <xdr:rowOff>159525</xdr:rowOff>
    </xdr:to>
    <xdr:pic>
      <xdr:nvPicPr>
        <xdr:cNvPr id="32" name="Graphic 31" descr="Coins with solid fill">
          <a:extLst>
            <a:ext uri="{FF2B5EF4-FFF2-40B4-BE49-F238E27FC236}">
              <a16:creationId xmlns:a16="http://schemas.microsoft.com/office/drawing/2014/main" id="{B175842C-39F5-A41E-62A3-7D2892F0DF3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646911" y="1275633"/>
          <a:ext cx="353463" cy="353463"/>
        </a:xfrm>
        <a:prstGeom prst="rect">
          <a:avLst/>
        </a:prstGeom>
      </xdr:spPr>
    </xdr:pic>
    <xdr:clientData/>
  </xdr:twoCellAnchor>
  <xdr:twoCellAnchor>
    <xdr:from>
      <xdr:col>0</xdr:col>
      <xdr:colOff>435432</xdr:colOff>
      <xdr:row>3</xdr:row>
      <xdr:rowOff>81644</xdr:rowOff>
    </xdr:from>
    <xdr:to>
      <xdr:col>3</xdr:col>
      <xdr:colOff>251733</xdr:colOff>
      <xdr:row>8</xdr:row>
      <xdr:rowOff>88448</xdr:rowOff>
    </xdr:to>
    <xdr:sp macro="" textlink="KPI!D5">
      <xdr:nvSpPr>
        <xdr:cNvPr id="35" name="TextBox 34">
          <a:extLst>
            <a:ext uri="{FF2B5EF4-FFF2-40B4-BE49-F238E27FC236}">
              <a16:creationId xmlns:a16="http://schemas.microsoft.com/office/drawing/2014/main" id="{4ADE5D8B-C308-AE26-F90C-E8D54C6CE69C}"/>
            </a:ext>
          </a:extLst>
        </xdr:cNvPr>
        <xdr:cNvSpPr txBox="1"/>
      </xdr:nvSpPr>
      <xdr:spPr>
        <a:xfrm>
          <a:off x="435432" y="632733"/>
          <a:ext cx="1653265" cy="92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4BE438D-75AA-49AB-B706-FED0FBBB0BA4}" type="TxLink">
            <a:rPr lang="en-US" sz="4400" b="0" i="0" u="none" strike="noStrike">
              <a:solidFill>
                <a:srgbClr val="000000"/>
              </a:solidFill>
              <a:latin typeface="Calibri"/>
              <a:ea typeface="Calibri"/>
              <a:cs typeface="Calibri"/>
            </a:rPr>
            <a:pPr algn="ctr"/>
            <a:t>99</a:t>
          </a:fld>
          <a:endParaRPr lang="en-US" sz="4400" b="0" i="0" u="none" strike="noStrike">
            <a:solidFill>
              <a:srgbClr val="000000"/>
            </a:solidFill>
            <a:latin typeface="Calibri"/>
            <a:ea typeface="Calibri"/>
            <a:cs typeface="Calibri"/>
          </a:endParaRPr>
        </a:p>
        <a:p>
          <a:pPr algn="ctr"/>
          <a:endParaRPr lang="en-US" sz="4400" b="0" i="0" u="none" strike="noStrike">
            <a:solidFill>
              <a:srgbClr val="000000"/>
            </a:solidFill>
            <a:latin typeface="Calibri"/>
            <a:ea typeface="Calibri"/>
            <a:cs typeface="Calibri"/>
          </a:endParaRPr>
        </a:p>
        <a:p>
          <a:pPr algn="ctr"/>
          <a:endParaRPr lang="en-US" sz="4400" b="0" i="0" u="none" strike="noStrike">
            <a:solidFill>
              <a:srgbClr val="000000"/>
            </a:solidFill>
            <a:latin typeface="Calibri"/>
            <a:ea typeface="Calibri"/>
            <a:cs typeface="Calibri"/>
          </a:endParaRPr>
        </a:p>
        <a:p>
          <a:pPr algn="ctr"/>
          <a:endParaRPr lang="en-US" sz="4400" b="0" i="0" u="none" strike="noStrike">
            <a:solidFill>
              <a:srgbClr val="000000"/>
            </a:solidFill>
            <a:latin typeface="Calibri"/>
            <a:ea typeface="Calibri"/>
            <a:cs typeface="Calibri"/>
          </a:endParaRPr>
        </a:p>
        <a:p>
          <a:pPr algn="ctr"/>
          <a:endParaRPr lang="en-IN" sz="4400"/>
        </a:p>
        <a:p>
          <a:pPr algn="ctr"/>
          <a:endParaRPr lang="en-IN" sz="4400"/>
        </a:p>
      </xdr:txBody>
    </xdr:sp>
    <xdr:clientData/>
  </xdr:twoCellAnchor>
  <xdr:twoCellAnchor>
    <xdr:from>
      <xdr:col>3</xdr:col>
      <xdr:colOff>449035</xdr:colOff>
      <xdr:row>3</xdr:row>
      <xdr:rowOff>70759</xdr:rowOff>
    </xdr:from>
    <xdr:to>
      <xdr:col>7</xdr:col>
      <xdr:colOff>231319</xdr:colOff>
      <xdr:row>8</xdr:row>
      <xdr:rowOff>91170</xdr:rowOff>
    </xdr:to>
    <xdr:sp macro="" textlink="KPI!E5">
      <xdr:nvSpPr>
        <xdr:cNvPr id="37" name="TextBox 36">
          <a:extLst>
            <a:ext uri="{FF2B5EF4-FFF2-40B4-BE49-F238E27FC236}">
              <a16:creationId xmlns:a16="http://schemas.microsoft.com/office/drawing/2014/main" id="{E14A51EE-E5EA-4F08-A8BB-B74CD769CA0C}"/>
            </a:ext>
          </a:extLst>
        </xdr:cNvPr>
        <xdr:cNvSpPr txBox="1"/>
      </xdr:nvSpPr>
      <xdr:spPr>
        <a:xfrm>
          <a:off x="2285999" y="621848"/>
          <a:ext cx="2231570" cy="938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991E95-A60B-43EE-9DF8-77C1C7F5E865}" type="TxLink">
            <a:rPr lang="en-US" sz="4400" b="0" i="0" u="none" strike="noStrike">
              <a:solidFill>
                <a:srgbClr val="000000"/>
              </a:solidFill>
              <a:latin typeface="Calibri"/>
              <a:ea typeface="Calibri"/>
              <a:cs typeface="Calibri"/>
            </a:rPr>
            <a:t> 132.4K</a:t>
          </a:fld>
          <a:endParaRPr lang="en-IN" sz="4400"/>
        </a:p>
      </xdr:txBody>
    </xdr:sp>
    <xdr:clientData/>
  </xdr:twoCellAnchor>
  <xdr:twoCellAnchor>
    <xdr:from>
      <xdr:col>7</xdr:col>
      <xdr:colOff>243571</xdr:colOff>
      <xdr:row>3</xdr:row>
      <xdr:rowOff>127909</xdr:rowOff>
    </xdr:from>
    <xdr:to>
      <xdr:col>10</xdr:col>
      <xdr:colOff>455840</xdr:colOff>
      <xdr:row>8</xdr:row>
      <xdr:rowOff>129269</xdr:rowOff>
    </xdr:to>
    <xdr:sp macro="" textlink="KPI!F5">
      <xdr:nvSpPr>
        <xdr:cNvPr id="38" name="TextBox 37">
          <a:extLst>
            <a:ext uri="{FF2B5EF4-FFF2-40B4-BE49-F238E27FC236}">
              <a16:creationId xmlns:a16="http://schemas.microsoft.com/office/drawing/2014/main" id="{F92FB215-4E0D-42B9-A2EC-B82CA31AE91A}"/>
            </a:ext>
          </a:extLst>
        </xdr:cNvPr>
        <xdr:cNvSpPr txBox="1"/>
      </xdr:nvSpPr>
      <xdr:spPr>
        <a:xfrm>
          <a:off x="4529821" y="678998"/>
          <a:ext cx="2049233" cy="919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81680B2-78DF-4FC7-A6BD-926A9A20C373}" type="TxLink">
            <a:rPr lang="en-US" sz="4400" b="0" i="0" u="none" strike="noStrike">
              <a:solidFill>
                <a:srgbClr val="000000"/>
              </a:solidFill>
              <a:latin typeface="Calibri"/>
              <a:ea typeface="Calibri"/>
              <a:cs typeface="Calibri"/>
            </a:rPr>
            <a:t>1.3K</a:t>
          </a:fld>
          <a:endParaRPr lang="en-IN" sz="4400"/>
        </a:p>
      </xdr:txBody>
    </xdr:sp>
    <xdr:clientData/>
  </xdr:twoCellAnchor>
  <xdr:twoCellAnchor editAs="oneCell">
    <xdr:from>
      <xdr:col>18</xdr:col>
      <xdr:colOff>115661</xdr:colOff>
      <xdr:row>10</xdr:row>
      <xdr:rowOff>27216</xdr:rowOff>
    </xdr:from>
    <xdr:to>
      <xdr:col>20</xdr:col>
      <xdr:colOff>488495</xdr:colOff>
      <xdr:row>26</xdr:row>
      <xdr:rowOff>108857</xdr:rowOff>
    </xdr:to>
    <mc:AlternateContent xmlns:mc="http://schemas.openxmlformats.org/markup-compatibility/2006">
      <mc:Choice xmlns:a14="http://schemas.microsoft.com/office/drawing/2010/main" Requires="a14">
        <xdr:graphicFrame macro="">
          <xdr:nvGraphicFramePr>
            <xdr:cNvPr id="40" name="Month 1">
              <a:extLst>
                <a:ext uri="{FF2B5EF4-FFF2-40B4-BE49-F238E27FC236}">
                  <a16:creationId xmlns:a16="http://schemas.microsoft.com/office/drawing/2014/main" id="{AEAA45C2-77CE-4517-B6C8-086D0C4C7E8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1137447" y="1864180"/>
              <a:ext cx="1597477" cy="30207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115660</xdr:colOff>
      <xdr:row>0</xdr:row>
      <xdr:rowOff>81643</xdr:rowOff>
    </xdr:from>
    <xdr:to>
      <xdr:col>20</xdr:col>
      <xdr:colOff>515710</xdr:colOff>
      <xdr:row>9</xdr:row>
      <xdr:rowOff>149678</xdr:rowOff>
    </xdr:to>
    <mc:AlternateContent xmlns:mc="http://schemas.openxmlformats.org/markup-compatibility/2006">
      <mc:Choice xmlns:a14="http://schemas.microsoft.com/office/drawing/2010/main" Requires="a14">
        <xdr:graphicFrame macro="">
          <xdr:nvGraphicFramePr>
            <xdr:cNvPr id="39" name="Category 1">
              <a:extLst>
                <a:ext uri="{FF2B5EF4-FFF2-40B4-BE49-F238E27FC236}">
                  <a16:creationId xmlns:a16="http://schemas.microsoft.com/office/drawing/2014/main" id="{B6EFE329-7600-42F1-96AE-E77622A1492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137446" y="81643"/>
              <a:ext cx="1624693" cy="1721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108858</xdr:colOff>
      <xdr:row>6</xdr:row>
      <xdr:rowOff>156481</xdr:rowOff>
    </xdr:from>
    <xdr:to>
      <xdr:col>2</xdr:col>
      <xdr:colOff>585107</xdr:colOff>
      <xdr:row>7</xdr:row>
      <xdr:rowOff>163284</xdr:rowOff>
    </xdr:to>
    <xdr:sp macro="" textlink="">
      <xdr:nvSpPr>
        <xdr:cNvPr id="41" name="TextBox 40">
          <a:extLst>
            <a:ext uri="{FF2B5EF4-FFF2-40B4-BE49-F238E27FC236}">
              <a16:creationId xmlns:a16="http://schemas.microsoft.com/office/drawing/2014/main" id="{941B6BA4-A9E7-CC51-EC28-BA71D91448CD}"/>
            </a:ext>
          </a:extLst>
        </xdr:cNvPr>
        <xdr:cNvSpPr txBox="1"/>
      </xdr:nvSpPr>
      <xdr:spPr>
        <a:xfrm>
          <a:off x="721179" y="1258660"/>
          <a:ext cx="1088571"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t>Total Orders</a:t>
          </a:r>
        </a:p>
      </xdr:txBody>
    </xdr:sp>
    <xdr:clientData/>
  </xdr:twoCellAnchor>
  <xdr:twoCellAnchor>
    <xdr:from>
      <xdr:col>4</xdr:col>
      <xdr:colOff>326571</xdr:colOff>
      <xdr:row>6</xdr:row>
      <xdr:rowOff>170089</xdr:rowOff>
    </xdr:from>
    <xdr:to>
      <xdr:col>6</xdr:col>
      <xdr:colOff>435428</xdr:colOff>
      <xdr:row>8</xdr:row>
      <xdr:rowOff>34018</xdr:rowOff>
    </xdr:to>
    <xdr:sp macro="" textlink="">
      <xdr:nvSpPr>
        <xdr:cNvPr id="45" name="TextBox 44">
          <a:extLst>
            <a:ext uri="{FF2B5EF4-FFF2-40B4-BE49-F238E27FC236}">
              <a16:creationId xmlns:a16="http://schemas.microsoft.com/office/drawing/2014/main" id="{8119A172-E676-8DD8-7402-356E524AB460}"/>
            </a:ext>
          </a:extLst>
        </xdr:cNvPr>
        <xdr:cNvSpPr txBox="1"/>
      </xdr:nvSpPr>
      <xdr:spPr>
        <a:xfrm>
          <a:off x="2775857" y="1272268"/>
          <a:ext cx="1333500" cy="231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t>Total Revenue</a:t>
          </a:r>
        </a:p>
      </xdr:txBody>
    </xdr:sp>
    <xdr:clientData/>
  </xdr:twoCellAnchor>
  <xdr:twoCellAnchor>
    <xdr:from>
      <xdr:col>8</xdr:col>
      <xdr:colOff>27216</xdr:colOff>
      <xdr:row>7</xdr:row>
      <xdr:rowOff>81643</xdr:rowOff>
    </xdr:from>
    <xdr:to>
      <xdr:col>10</xdr:col>
      <xdr:colOff>333375</xdr:colOff>
      <xdr:row>8</xdr:row>
      <xdr:rowOff>68036</xdr:rowOff>
    </xdr:to>
    <xdr:sp macro="" textlink="">
      <xdr:nvSpPr>
        <xdr:cNvPr id="48" name="TextBox 47">
          <a:extLst>
            <a:ext uri="{FF2B5EF4-FFF2-40B4-BE49-F238E27FC236}">
              <a16:creationId xmlns:a16="http://schemas.microsoft.com/office/drawing/2014/main" id="{DACC19FD-E652-FF16-DFB0-1BA9E0E8FC1F}"/>
            </a:ext>
          </a:extLst>
        </xdr:cNvPr>
        <xdr:cNvSpPr txBox="1"/>
      </xdr:nvSpPr>
      <xdr:spPr>
        <a:xfrm>
          <a:off x="4925787" y="1367518"/>
          <a:ext cx="1530802" cy="170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t>Average</a:t>
          </a:r>
          <a:r>
            <a:rPr lang="en-IN" sz="1200" baseline="0"/>
            <a:t> Order Value</a:t>
          </a:r>
          <a:endParaRPr lang="en-IN" sz="1200"/>
        </a:p>
      </xdr:txBody>
    </xdr:sp>
    <xdr:clientData/>
  </xdr:twoCellAnchor>
  <xdr:twoCellAnchor editAs="oneCell">
    <xdr:from>
      <xdr:col>7</xdr:col>
      <xdr:colOff>421822</xdr:colOff>
      <xdr:row>7</xdr:row>
      <xdr:rowOff>34018</xdr:rowOff>
    </xdr:from>
    <xdr:to>
      <xdr:col>8</xdr:col>
      <xdr:colOff>125186</xdr:colOff>
      <xdr:row>8</xdr:row>
      <xdr:rowOff>166007</xdr:rowOff>
    </xdr:to>
    <xdr:pic>
      <xdr:nvPicPr>
        <xdr:cNvPr id="50" name="Graphic 49" descr="Coins with solid fill">
          <a:extLst>
            <a:ext uri="{FF2B5EF4-FFF2-40B4-BE49-F238E27FC236}">
              <a16:creationId xmlns:a16="http://schemas.microsoft.com/office/drawing/2014/main" id="{00F29D2D-8B6D-B97A-F894-10309B5149D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10"/>
            </a:ext>
          </a:extLst>
        </a:blip>
        <a:stretch>
          <a:fillRect/>
        </a:stretch>
      </xdr:blipFill>
      <xdr:spPr>
        <a:xfrm>
          <a:off x="4708072" y="1319893"/>
          <a:ext cx="315685" cy="31568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ren" refreshedDate="46177.957840277777" createdVersion="8" refreshedVersion="8" minRefreshableVersion="3" recordCount="99" xr:uid="{E003B658-2673-486E-B524-82A9F451A424}">
  <cacheSource type="worksheet">
    <worksheetSource name="messy_ecommerce_sales_data"/>
  </cacheSource>
  <cacheFields count="15">
    <cacheField name="ID" numFmtId="0">
      <sharedItems/>
    </cacheField>
    <cacheField name="Customer_Name" numFmtId="0">
      <sharedItems/>
    </cacheField>
    <cacheField name="Order_ID" numFmtId="0">
      <sharedItems/>
    </cacheField>
    <cacheField name="Order_Date" numFmtId="14">
      <sharedItems containsSemiMixedTypes="0" containsNonDate="0" containsDate="1" containsString="0" minDate="2023-01-05T00:00:00" maxDate="2025-11-07T00:00:00"/>
    </cacheField>
    <cacheField name="Product" numFmtId="0">
      <sharedItems count="20">
        <s v="Blender"/>
        <s v="Smartphone"/>
        <s v="Tennis Racket"/>
        <s v="Science"/>
        <s v="Biography"/>
        <s v="Basketball"/>
        <s v="Comics"/>
        <s v="Shoes"/>
        <s v="Fiction"/>
        <s v="Microwave"/>
        <s v="Yoga Mat"/>
        <s v="Vacuum"/>
        <s v="Lamp"/>
        <s v="T-shirt"/>
        <s v="Smartwatch"/>
        <s v="Headphones"/>
        <s v="Football"/>
        <s v="Laptop"/>
        <s v="Jacket"/>
        <s v="Jeans"/>
      </sharedItems>
    </cacheField>
    <cacheField name="Category" numFmtId="0">
      <sharedItems count="5">
        <s v="Home"/>
        <s v="Electronics"/>
        <s v="Sports"/>
        <s v="Books"/>
        <s v="Clothing"/>
      </sharedItems>
    </cacheField>
    <cacheField name="Quantity" numFmtId="0">
      <sharedItems containsMixedTypes="1" containsNumber="1" containsInteger="1" minValue="1" maxValue="5"/>
    </cacheField>
    <cacheField name="Price" numFmtId="0">
      <sharedItems containsMixedTypes="1" containsNumber="1" minValue="38" maxValue="10000"/>
    </cacheField>
    <cacheField name="Payment_Method" numFmtId="0">
      <sharedItems count="4">
        <s v="Cash on Delivery"/>
        <s v="PayPal"/>
        <s v="Bank Transfer"/>
        <s v="Credit Card"/>
      </sharedItems>
    </cacheField>
    <cacheField name="Status" numFmtId="0">
      <sharedItems count="5">
        <s v="Shipped"/>
        <s v="Processing"/>
        <s v="Delivered"/>
        <s v="Cancelled"/>
        <s v="Returned"/>
      </sharedItems>
    </cacheField>
    <cacheField name="Total Revenue" numFmtId="0">
      <sharedItems containsString="0" containsBlank="1" containsNumber="1" minValue="40.950000000000003" maxValue="4722.7" count="85">
        <n v="114"/>
        <m/>
        <n v="389.05"/>
        <n v="1169.5999999999999"/>
        <n v="552.51"/>
        <n v="366.18"/>
        <n v="2938.4"/>
        <n v="600.29"/>
        <n v="841.7"/>
        <n v="2000"/>
        <n v="1731.54"/>
        <n v="3008.52"/>
        <n v="411.81"/>
        <n v="826.26"/>
        <n v="1593.68"/>
        <n v="1239.0999999999999"/>
        <n v="1752.76"/>
        <n v="2092.04"/>
        <n v="1113.8599999999999"/>
        <n v="1847.73"/>
        <n v="3062.76"/>
        <n v="3347.2"/>
        <n v="1680.1"/>
        <n v="2696.07"/>
        <n v="2946.84"/>
        <n v="3083.15"/>
        <n v="266.7"/>
        <n v="1716.2"/>
        <n v="1784.76"/>
        <n v="696.71"/>
        <n v="531.05999999999995"/>
        <n v="1362.76"/>
        <n v="2355.92"/>
        <n v="1638.12"/>
        <n v="3226.3"/>
        <n v="4133.8500000000004"/>
        <n v="4245.3500000000004"/>
        <n v="1721.98"/>
        <n v="1410.84"/>
        <n v="2384.6"/>
        <n v="660.98"/>
        <n v="4481.8999999999996"/>
        <n v="206.19"/>
        <n v="914.32"/>
        <n v="699.33"/>
        <n v="1115.5999999999999"/>
        <n v="3948.2"/>
        <n v="40.950000000000003"/>
        <n v="1100.4000000000001"/>
        <n v="933.58"/>
        <n v="489.48"/>
        <n v="1212.5999999999999"/>
        <n v="837.28"/>
        <n v="311.52"/>
        <n v="705.78"/>
        <n v="886.26"/>
        <n v="1138.76"/>
        <n v="282.98"/>
        <n v="582.13"/>
        <n v="3708.15"/>
        <n v="2066.04"/>
        <n v="1885.52"/>
        <n v="1759.45"/>
        <n v="749.92"/>
        <n v="111.36"/>
        <n v="2652.6"/>
        <n v="69.48"/>
        <n v="1416.42"/>
        <n v="2606.0100000000002"/>
        <n v="836.76"/>
        <n v="266.48"/>
        <n v="2153.4"/>
        <n v="404.76"/>
        <n v="1461.84"/>
        <n v="365.34"/>
        <n v="2648.88"/>
        <n v="2520.25"/>
        <n v="814.68"/>
        <n v="920.37"/>
        <n v="1762.04"/>
        <n v="4722.7"/>
        <n v="4087.3"/>
        <n v="160.16"/>
        <n v="994.02"/>
        <n v="1861.4"/>
      </sharedItems>
    </cacheField>
    <cacheField name="Month" numFmtId="0">
      <sharedItems count="12">
        <s v="Nov"/>
        <s v="Jul"/>
        <s v="Dec"/>
        <s v="Mar"/>
        <s v="Oct"/>
        <s v="Feb"/>
        <s v="Jan"/>
        <s v="May"/>
        <s v="Sep"/>
        <s v="Jun"/>
        <s v="Aug"/>
        <s v="Apr"/>
      </sharedItems>
    </cacheField>
    <cacheField name="Year" numFmtId="0">
      <sharedItems containsSemiMixedTypes="0" containsString="0" containsNumber="1" containsInteger="1" minValue="2023" maxValue="2025" count="3">
        <n v="2024"/>
        <n v="2025"/>
        <n v="2023"/>
      </sharedItems>
    </cacheField>
    <cacheField name="Revenue Bucket" numFmtId="0">
      <sharedItems count="4">
        <s v="Low Bucket"/>
        <s v="Unknown"/>
        <s v="Medium Bucket"/>
        <s v="High Bucket"/>
      </sharedItems>
    </cacheField>
    <cacheField name="Status Group" numFmtId="0">
      <sharedItems count="3">
        <s v="In Progress"/>
        <s v="Completed"/>
        <s v="Unsuccessful"/>
      </sharedItems>
    </cacheField>
  </cacheFields>
  <extLst>
    <ext xmlns:x14="http://schemas.microsoft.com/office/spreadsheetml/2009/9/main" uri="{725AE2AE-9491-48be-B2B4-4EB974FC3084}">
      <x14:pivotCacheDefinition pivotCacheId="5321086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s v="100"/>
    <s v="Customer_100"/>
    <s v="ORD-41285"/>
    <d v="2024-11-22T00:00:00"/>
    <x v="0"/>
    <x v="0"/>
    <n v="3"/>
    <n v="38"/>
    <x v="0"/>
    <x v="0"/>
    <x v="0"/>
    <x v="0"/>
    <x v="0"/>
    <x v="0"/>
    <x v="0"/>
  </r>
  <r>
    <s v="101"/>
    <s v="Customer_101"/>
    <s v="ORD-35783"/>
    <d v="2025-07-05T00:00:00"/>
    <x v="1"/>
    <x v="1"/>
    <n v="2"/>
    <s v="Unknown"/>
    <x v="1"/>
    <x v="1"/>
    <x v="1"/>
    <x v="1"/>
    <x v="1"/>
    <x v="1"/>
    <x v="0"/>
  </r>
  <r>
    <s v="102"/>
    <s v="Customer_102"/>
    <s v="ORD-84355"/>
    <d v="2024-12-23T00:00:00"/>
    <x v="2"/>
    <x v="2"/>
    <s v="Unknown"/>
    <n v="389.05"/>
    <x v="1"/>
    <x v="2"/>
    <x v="2"/>
    <x v="2"/>
    <x v="0"/>
    <x v="0"/>
    <x v="1"/>
  </r>
  <r>
    <s v="103"/>
    <s v="Customer_103"/>
    <s v="ORD-57811"/>
    <d v="2025-03-19T00:00:00"/>
    <x v="3"/>
    <x v="3"/>
    <n v="5"/>
    <n v="233.92"/>
    <x v="1"/>
    <x v="1"/>
    <x v="3"/>
    <x v="3"/>
    <x v="1"/>
    <x v="2"/>
    <x v="0"/>
  </r>
  <r>
    <s v="104"/>
    <s v="Customer_104"/>
    <s v="ORD-93614"/>
    <d v="2025-10-20T00:00:00"/>
    <x v="4"/>
    <x v="3"/>
    <n v="1"/>
    <n v="552.51"/>
    <x v="0"/>
    <x v="1"/>
    <x v="4"/>
    <x v="4"/>
    <x v="1"/>
    <x v="2"/>
    <x v="0"/>
  </r>
  <r>
    <s v="105"/>
    <s v="Customer_105"/>
    <s v="ORD-22442"/>
    <d v="2024-11-20T00:00:00"/>
    <x v="2"/>
    <x v="2"/>
    <n v="3"/>
    <n v="122.06"/>
    <x v="0"/>
    <x v="3"/>
    <x v="5"/>
    <x v="0"/>
    <x v="0"/>
    <x v="0"/>
    <x v="2"/>
  </r>
  <r>
    <s v="106"/>
    <s v="Customer_106"/>
    <s v="ORD-25885"/>
    <d v="2025-02-02T00:00:00"/>
    <x v="0"/>
    <x v="0"/>
    <s v="Unknown"/>
    <n v="978.63"/>
    <x v="2"/>
    <x v="1"/>
    <x v="1"/>
    <x v="5"/>
    <x v="1"/>
    <x v="1"/>
    <x v="0"/>
  </r>
  <r>
    <s v="107"/>
    <s v="Customer_107"/>
    <s v="ORD-89122"/>
    <d v="2025-01-03T00:00:00"/>
    <x v="4"/>
    <x v="3"/>
    <n v="5"/>
    <n v="587.67999999999995"/>
    <x v="1"/>
    <x v="4"/>
    <x v="6"/>
    <x v="6"/>
    <x v="1"/>
    <x v="3"/>
    <x v="2"/>
  </r>
  <r>
    <s v="108"/>
    <s v="Customer_108"/>
    <s v="ORD-64400"/>
    <d v="2025-10-23T00:00:00"/>
    <x v="3"/>
    <x v="3"/>
    <n v="1"/>
    <n v="600.29"/>
    <x v="0"/>
    <x v="1"/>
    <x v="7"/>
    <x v="4"/>
    <x v="1"/>
    <x v="2"/>
    <x v="0"/>
  </r>
  <r>
    <s v="109"/>
    <s v="Customer_109"/>
    <s v="ORD-18512"/>
    <d v="2025-05-03T00:00:00"/>
    <x v="2"/>
    <x v="2"/>
    <n v="5"/>
    <n v="168.34"/>
    <x v="3"/>
    <x v="0"/>
    <x v="8"/>
    <x v="7"/>
    <x v="1"/>
    <x v="2"/>
    <x v="0"/>
  </r>
  <r>
    <s v="110"/>
    <s v="Customer_110"/>
    <s v="ORD-61020"/>
    <d v="2025-09-26T00:00:00"/>
    <x v="5"/>
    <x v="2"/>
    <n v="5"/>
    <n v="400"/>
    <x v="0"/>
    <x v="3"/>
    <x v="9"/>
    <x v="8"/>
    <x v="1"/>
    <x v="2"/>
    <x v="2"/>
  </r>
  <r>
    <s v="111"/>
    <s v="Customer_111"/>
    <s v="ORD-72349"/>
    <d v="2025-10-22T00:00:00"/>
    <x v="6"/>
    <x v="3"/>
    <n v="2"/>
    <n v="865.77"/>
    <x v="3"/>
    <x v="4"/>
    <x v="10"/>
    <x v="4"/>
    <x v="1"/>
    <x v="2"/>
    <x v="2"/>
  </r>
  <r>
    <s v="112"/>
    <s v="Customer_112"/>
    <s v="ORD-80867"/>
    <d v="2025-03-02T00:00:00"/>
    <x v="7"/>
    <x v="4"/>
    <n v="4"/>
    <n v="752.13"/>
    <x v="2"/>
    <x v="2"/>
    <x v="11"/>
    <x v="3"/>
    <x v="1"/>
    <x v="3"/>
    <x v="1"/>
  </r>
  <r>
    <s v="113"/>
    <s v="Customer_113"/>
    <s v="ORD-23994"/>
    <d v="2025-07-24T00:00:00"/>
    <x v="8"/>
    <x v="3"/>
    <n v="1"/>
    <n v="411.81"/>
    <x v="3"/>
    <x v="1"/>
    <x v="12"/>
    <x v="1"/>
    <x v="1"/>
    <x v="0"/>
    <x v="0"/>
  </r>
  <r>
    <s v="114"/>
    <s v="Customer_114"/>
    <s v="ORD-77417"/>
    <d v="2023-01-05T00:00:00"/>
    <x v="1"/>
    <x v="1"/>
    <n v="2"/>
    <n v="413.13"/>
    <x v="0"/>
    <x v="0"/>
    <x v="13"/>
    <x v="6"/>
    <x v="2"/>
    <x v="2"/>
    <x v="0"/>
  </r>
  <r>
    <s v="115"/>
    <s v="Customer_115"/>
    <s v="ORD-72778"/>
    <d v="2025-01-10T00:00:00"/>
    <x v="8"/>
    <x v="3"/>
    <n v="2"/>
    <n v="796.84"/>
    <x v="0"/>
    <x v="4"/>
    <x v="14"/>
    <x v="6"/>
    <x v="1"/>
    <x v="2"/>
    <x v="2"/>
  </r>
  <r>
    <s v="116"/>
    <s v="Customer_116"/>
    <s v="ORD-63660"/>
    <d v="2025-10-30T00:00:00"/>
    <x v="9"/>
    <x v="0"/>
    <n v="4"/>
    <s v="Unknown"/>
    <x v="0"/>
    <x v="1"/>
    <x v="1"/>
    <x v="4"/>
    <x v="1"/>
    <x v="1"/>
    <x v="0"/>
  </r>
  <r>
    <s v="117"/>
    <s v="Customer_117"/>
    <s v="ORD-72751"/>
    <d v="2025-02-12T00:00:00"/>
    <x v="0"/>
    <x v="0"/>
    <s v="Unknown"/>
    <n v="10000"/>
    <x v="0"/>
    <x v="1"/>
    <x v="1"/>
    <x v="5"/>
    <x v="1"/>
    <x v="1"/>
    <x v="0"/>
  </r>
  <r>
    <s v="118"/>
    <s v="Customer_118"/>
    <s v="ORD-96061"/>
    <d v="2025-05-31T00:00:00"/>
    <x v="3"/>
    <x v="3"/>
    <n v="5"/>
    <n v="247.82"/>
    <x v="1"/>
    <x v="1"/>
    <x v="15"/>
    <x v="7"/>
    <x v="1"/>
    <x v="2"/>
    <x v="0"/>
  </r>
  <r>
    <s v="119"/>
    <s v="Customer_119"/>
    <s v="ORD-76016"/>
    <d v="2024-12-19T00:00:00"/>
    <x v="5"/>
    <x v="2"/>
    <n v="4"/>
    <n v="438.19"/>
    <x v="0"/>
    <x v="1"/>
    <x v="16"/>
    <x v="2"/>
    <x v="0"/>
    <x v="2"/>
    <x v="0"/>
  </r>
  <r>
    <s v="120"/>
    <s v="Customer_120"/>
    <s v="ORD-14659"/>
    <d v="2025-06-13T00:00:00"/>
    <x v="10"/>
    <x v="2"/>
    <n v="5"/>
    <s v="Unknown"/>
    <x v="3"/>
    <x v="3"/>
    <x v="1"/>
    <x v="9"/>
    <x v="1"/>
    <x v="1"/>
    <x v="2"/>
  </r>
  <r>
    <s v="121"/>
    <s v="Customer_121"/>
    <s v="ORD-80067"/>
    <d v="2025-10-11T00:00:00"/>
    <x v="5"/>
    <x v="2"/>
    <n v="4"/>
    <n v="523.01"/>
    <x v="3"/>
    <x v="2"/>
    <x v="17"/>
    <x v="4"/>
    <x v="1"/>
    <x v="3"/>
    <x v="1"/>
  </r>
  <r>
    <s v="122"/>
    <s v="Customer_122"/>
    <s v="ORD-21443"/>
    <d v="2025-05-16T00:00:00"/>
    <x v="9"/>
    <x v="0"/>
    <n v="2"/>
    <n v="556.92999999999995"/>
    <x v="1"/>
    <x v="0"/>
    <x v="18"/>
    <x v="7"/>
    <x v="1"/>
    <x v="2"/>
    <x v="0"/>
  </r>
  <r>
    <s v="123"/>
    <s v="Customer_123"/>
    <s v="ORD-11314"/>
    <d v="2025-10-06T00:00:00"/>
    <x v="11"/>
    <x v="0"/>
    <n v="3"/>
    <n v="615.91"/>
    <x v="0"/>
    <x v="3"/>
    <x v="19"/>
    <x v="4"/>
    <x v="1"/>
    <x v="2"/>
    <x v="2"/>
  </r>
  <r>
    <s v="124"/>
    <s v="Customer_124"/>
    <s v="ORD-46136"/>
    <d v="2025-05-31T00:00:00"/>
    <x v="6"/>
    <x v="3"/>
    <n v="5"/>
    <s v="Unknown"/>
    <x v="1"/>
    <x v="3"/>
    <x v="1"/>
    <x v="7"/>
    <x v="1"/>
    <x v="1"/>
    <x v="2"/>
  </r>
  <r>
    <s v="125"/>
    <s v="Customer_125"/>
    <s v="ORD-23202"/>
    <d v="2025-02-09T00:00:00"/>
    <x v="6"/>
    <x v="3"/>
    <n v="4"/>
    <n v="765.69"/>
    <x v="1"/>
    <x v="0"/>
    <x v="20"/>
    <x v="5"/>
    <x v="1"/>
    <x v="3"/>
    <x v="0"/>
  </r>
  <r>
    <s v="126"/>
    <s v="Customer_126"/>
    <s v="ORD-11261"/>
    <d v="2025-05-18T00:00:00"/>
    <x v="7"/>
    <x v="4"/>
    <n v="4"/>
    <n v="836.8"/>
    <x v="2"/>
    <x v="3"/>
    <x v="21"/>
    <x v="7"/>
    <x v="1"/>
    <x v="3"/>
    <x v="2"/>
  </r>
  <r>
    <s v="127"/>
    <s v="Customer_127"/>
    <s v="ORD-65482"/>
    <d v="2025-05-12T00:00:00"/>
    <x v="0"/>
    <x v="0"/>
    <n v="5"/>
    <n v="336.02"/>
    <x v="2"/>
    <x v="4"/>
    <x v="22"/>
    <x v="7"/>
    <x v="1"/>
    <x v="2"/>
    <x v="2"/>
  </r>
  <r>
    <s v="128"/>
    <s v="Customer_128"/>
    <s v="ORD-12270"/>
    <d v="2024-11-10T00:00:00"/>
    <x v="12"/>
    <x v="0"/>
    <n v="3"/>
    <n v="898.69"/>
    <x v="2"/>
    <x v="2"/>
    <x v="23"/>
    <x v="0"/>
    <x v="0"/>
    <x v="3"/>
    <x v="1"/>
  </r>
  <r>
    <s v="129"/>
    <s v="Customer_129"/>
    <s v="ORD-48863"/>
    <d v="2025-06-22T00:00:00"/>
    <x v="3"/>
    <x v="3"/>
    <n v="4"/>
    <n v="736.71"/>
    <x v="2"/>
    <x v="4"/>
    <x v="24"/>
    <x v="9"/>
    <x v="1"/>
    <x v="3"/>
    <x v="2"/>
  </r>
  <r>
    <s v="130"/>
    <s v="Customer_130"/>
    <s v="ORD-34007"/>
    <d v="2025-08-15T00:00:00"/>
    <x v="2"/>
    <x v="2"/>
    <n v="2"/>
    <s v="Unknown"/>
    <x v="2"/>
    <x v="1"/>
    <x v="1"/>
    <x v="10"/>
    <x v="1"/>
    <x v="1"/>
    <x v="0"/>
  </r>
  <r>
    <s v="131"/>
    <s v="Customer_131"/>
    <s v="ORD-91396"/>
    <d v="2025-06-11T00:00:00"/>
    <x v="12"/>
    <x v="0"/>
    <n v="5"/>
    <n v="616.63"/>
    <x v="1"/>
    <x v="0"/>
    <x v="25"/>
    <x v="9"/>
    <x v="1"/>
    <x v="3"/>
    <x v="0"/>
  </r>
  <r>
    <s v="132"/>
    <s v="Customer_132"/>
    <s v="ORD-40186"/>
    <d v="2025-04-02T00:00:00"/>
    <x v="10"/>
    <x v="2"/>
    <n v="1"/>
    <n v="266.7"/>
    <x v="1"/>
    <x v="2"/>
    <x v="26"/>
    <x v="11"/>
    <x v="1"/>
    <x v="0"/>
    <x v="1"/>
  </r>
  <r>
    <s v="133"/>
    <s v="Customer_133"/>
    <s v="ORD-68182"/>
    <d v="2024-12-05T00:00:00"/>
    <x v="4"/>
    <x v="3"/>
    <n v="5"/>
    <n v="343.24"/>
    <x v="3"/>
    <x v="0"/>
    <x v="27"/>
    <x v="2"/>
    <x v="0"/>
    <x v="2"/>
    <x v="0"/>
  </r>
  <r>
    <s v="134"/>
    <s v="Customer_134"/>
    <s v="ORD-16585"/>
    <d v="2025-10-04T00:00:00"/>
    <x v="13"/>
    <x v="4"/>
    <s v="Unknown"/>
    <n v="591.53"/>
    <x v="1"/>
    <x v="0"/>
    <x v="1"/>
    <x v="4"/>
    <x v="1"/>
    <x v="1"/>
    <x v="0"/>
  </r>
  <r>
    <s v="135"/>
    <s v="Customer_135"/>
    <s v="ORD-33656"/>
    <d v="2025-02-09T00:00:00"/>
    <x v="14"/>
    <x v="1"/>
    <n v="4"/>
    <n v="446.19"/>
    <x v="0"/>
    <x v="3"/>
    <x v="28"/>
    <x v="5"/>
    <x v="1"/>
    <x v="2"/>
    <x v="2"/>
  </r>
  <r>
    <s v="136"/>
    <s v="Customer_136"/>
    <s v="ORD-20985"/>
    <d v="2025-06-12T00:00:00"/>
    <x v="15"/>
    <x v="1"/>
    <n v="1"/>
    <n v="696.71"/>
    <x v="3"/>
    <x v="2"/>
    <x v="29"/>
    <x v="9"/>
    <x v="1"/>
    <x v="2"/>
    <x v="1"/>
  </r>
  <r>
    <s v="137"/>
    <s v="Customer_137"/>
    <s v="ORD-91254"/>
    <d v="2025-02-23T00:00:00"/>
    <x v="11"/>
    <x v="0"/>
    <n v="3"/>
    <s v="Unknown"/>
    <x v="0"/>
    <x v="2"/>
    <x v="1"/>
    <x v="5"/>
    <x v="1"/>
    <x v="1"/>
    <x v="1"/>
  </r>
  <r>
    <s v="138"/>
    <s v="Customer_138"/>
    <s v="ORD-34319"/>
    <d v="2025-08-09T00:00:00"/>
    <x v="12"/>
    <x v="0"/>
    <n v="1"/>
    <n v="531.05999999999995"/>
    <x v="1"/>
    <x v="1"/>
    <x v="30"/>
    <x v="10"/>
    <x v="1"/>
    <x v="2"/>
    <x v="0"/>
  </r>
  <r>
    <s v="139"/>
    <s v="Customer_139"/>
    <s v="ORD-38418"/>
    <d v="2025-02-09T00:00:00"/>
    <x v="1"/>
    <x v="1"/>
    <n v="2"/>
    <n v="681.38"/>
    <x v="3"/>
    <x v="3"/>
    <x v="31"/>
    <x v="5"/>
    <x v="1"/>
    <x v="2"/>
    <x v="2"/>
  </r>
  <r>
    <s v="140"/>
    <s v="Customer_140"/>
    <s v="ORD-67096"/>
    <d v="2025-02-26T00:00:00"/>
    <x v="8"/>
    <x v="3"/>
    <n v="4"/>
    <n v="588.98"/>
    <x v="3"/>
    <x v="4"/>
    <x v="32"/>
    <x v="5"/>
    <x v="1"/>
    <x v="3"/>
    <x v="2"/>
  </r>
  <r>
    <s v="141"/>
    <s v="Customer_141"/>
    <s v="ORD-45059"/>
    <d v="2025-02-13T00:00:00"/>
    <x v="8"/>
    <x v="3"/>
    <n v="3"/>
    <n v="546.04"/>
    <x v="0"/>
    <x v="4"/>
    <x v="33"/>
    <x v="5"/>
    <x v="1"/>
    <x v="2"/>
    <x v="2"/>
  </r>
  <r>
    <s v="142"/>
    <s v="Customer_142"/>
    <s v="ORD-69018"/>
    <d v="2025-10-30T00:00:00"/>
    <x v="7"/>
    <x v="4"/>
    <n v="5"/>
    <n v="645.26"/>
    <x v="3"/>
    <x v="0"/>
    <x v="34"/>
    <x v="4"/>
    <x v="1"/>
    <x v="3"/>
    <x v="0"/>
  </r>
  <r>
    <s v="143"/>
    <s v="Customer_143"/>
    <s v="ORD-14329"/>
    <d v="2025-07-11T00:00:00"/>
    <x v="13"/>
    <x v="4"/>
    <n v="5"/>
    <n v="826.77"/>
    <x v="2"/>
    <x v="3"/>
    <x v="35"/>
    <x v="1"/>
    <x v="1"/>
    <x v="3"/>
    <x v="2"/>
  </r>
  <r>
    <s v="144"/>
    <s v="Customer_144"/>
    <s v="ORD-89452"/>
    <d v="2025-01-27T00:00:00"/>
    <x v="16"/>
    <x v="2"/>
    <n v="5"/>
    <n v="849.07"/>
    <x v="2"/>
    <x v="1"/>
    <x v="36"/>
    <x v="6"/>
    <x v="1"/>
    <x v="3"/>
    <x v="0"/>
  </r>
  <r>
    <s v="145"/>
    <s v="Customer_145"/>
    <s v="ORD-75314"/>
    <d v="2023-05-01T00:00:00"/>
    <x v="17"/>
    <x v="1"/>
    <n v="2"/>
    <n v="860.99"/>
    <x v="2"/>
    <x v="4"/>
    <x v="37"/>
    <x v="7"/>
    <x v="2"/>
    <x v="2"/>
    <x v="2"/>
  </r>
  <r>
    <s v="146"/>
    <s v="Customer_146"/>
    <s v="ORD-32755"/>
    <d v="2025-07-09T00:00:00"/>
    <x v="5"/>
    <x v="2"/>
    <n v="2"/>
    <n v="705.42"/>
    <x v="2"/>
    <x v="1"/>
    <x v="38"/>
    <x v="1"/>
    <x v="1"/>
    <x v="2"/>
    <x v="0"/>
  </r>
  <r>
    <s v="147"/>
    <s v="Customer_147"/>
    <s v="ORD-80707"/>
    <d v="2025-05-01T00:00:00"/>
    <x v="18"/>
    <x v="4"/>
    <n v="4"/>
    <n v="596.15"/>
    <x v="0"/>
    <x v="0"/>
    <x v="39"/>
    <x v="7"/>
    <x v="1"/>
    <x v="3"/>
    <x v="0"/>
  </r>
  <r>
    <s v="148"/>
    <s v="Customer_148"/>
    <s v="ORD-38423"/>
    <d v="2025-03-13T00:00:00"/>
    <x v="2"/>
    <x v="2"/>
    <n v="1"/>
    <n v="660.98"/>
    <x v="0"/>
    <x v="4"/>
    <x v="40"/>
    <x v="3"/>
    <x v="1"/>
    <x v="2"/>
    <x v="2"/>
  </r>
  <r>
    <s v="149"/>
    <s v="Customer_149"/>
    <s v="ORD-95911"/>
    <d v="2025-06-29T00:00:00"/>
    <x v="6"/>
    <x v="3"/>
    <n v="5"/>
    <n v="896.38"/>
    <x v="2"/>
    <x v="3"/>
    <x v="41"/>
    <x v="9"/>
    <x v="1"/>
    <x v="3"/>
    <x v="2"/>
  </r>
  <r>
    <s v="150"/>
    <s v="Customer_150"/>
    <s v="ORD-76902"/>
    <d v="2024-11-27T00:00:00"/>
    <x v="10"/>
    <x v="2"/>
    <n v="1"/>
    <n v="206.19"/>
    <x v="3"/>
    <x v="4"/>
    <x v="42"/>
    <x v="0"/>
    <x v="0"/>
    <x v="0"/>
    <x v="2"/>
  </r>
  <r>
    <s v="151"/>
    <s v="Customer_151"/>
    <s v="ORD-56552"/>
    <d v="2025-07-01T00:00:00"/>
    <x v="6"/>
    <x v="3"/>
    <n v="2"/>
    <n v="457.16"/>
    <x v="1"/>
    <x v="1"/>
    <x v="43"/>
    <x v="1"/>
    <x v="1"/>
    <x v="2"/>
    <x v="0"/>
  </r>
  <r>
    <s v="152"/>
    <s v="Customer_152"/>
    <s v="ORD-72869"/>
    <d v="2025-09-22T00:00:00"/>
    <x v="12"/>
    <x v="0"/>
    <n v="3"/>
    <n v="233.11"/>
    <x v="1"/>
    <x v="4"/>
    <x v="44"/>
    <x v="8"/>
    <x v="1"/>
    <x v="2"/>
    <x v="2"/>
  </r>
  <r>
    <s v="153"/>
    <s v="Customer_153"/>
    <s v="ORD-29721"/>
    <d v="2025-07-16T00:00:00"/>
    <x v="10"/>
    <x v="2"/>
    <n v="4"/>
    <n v="278.89999999999998"/>
    <x v="0"/>
    <x v="1"/>
    <x v="45"/>
    <x v="1"/>
    <x v="1"/>
    <x v="2"/>
    <x v="0"/>
  </r>
  <r>
    <s v="154"/>
    <s v="Customer_154"/>
    <s v="ORD-95990"/>
    <d v="2025-02-21T00:00:00"/>
    <x v="0"/>
    <x v="0"/>
    <n v="5"/>
    <n v="789.64"/>
    <x v="0"/>
    <x v="3"/>
    <x v="46"/>
    <x v="5"/>
    <x v="1"/>
    <x v="3"/>
    <x v="2"/>
  </r>
  <r>
    <s v="155"/>
    <s v="Customer_155"/>
    <s v="ORD-20182"/>
    <d v="2025-05-01T00:00:00"/>
    <x v="7"/>
    <x v="4"/>
    <n v="1"/>
    <n v="40.950000000000003"/>
    <x v="1"/>
    <x v="4"/>
    <x v="47"/>
    <x v="7"/>
    <x v="1"/>
    <x v="0"/>
    <x v="2"/>
  </r>
  <r>
    <s v="156"/>
    <s v="Customer_156"/>
    <s v="ORD-34679"/>
    <d v="2024-11-28T00:00:00"/>
    <x v="19"/>
    <x v="4"/>
    <n v="2"/>
    <s v="Unknown"/>
    <x v="2"/>
    <x v="0"/>
    <x v="1"/>
    <x v="0"/>
    <x v="0"/>
    <x v="1"/>
    <x v="0"/>
  </r>
  <r>
    <s v="157"/>
    <s v="Customer_157"/>
    <s v="ORD-34407"/>
    <d v="2025-11-06T00:00:00"/>
    <x v="18"/>
    <x v="4"/>
    <n v="4"/>
    <n v="275.10000000000002"/>
    <x v="2"/>
    <x v="1"/>
    <x v="48"/>
    <x v="0"/>
    <x v="1"/>
    <x v="2"/>
    <x v="0"/>
  </r>
  <r>
    <s v="158"/>
    <s v="Customer_158"/>
    <s v="ORD-35817"/>
    <d v="2025-04-05T00:00:00"/>
    <x v="14"/>
    <x v="1"/>
    <n v="1"/>
    <n v="933.58"/>
    <x v="0"/>
    <x v="0"/>
    <x v="49"/>
    <x v="11"/>
    <x v="1"/>
    <x v="2"/>
    <x v="0"/>
  </r>
  <r>
    <s v="159"/>
    <s v="Customer_159"/>
    <s v="ORD-98162"/>
    <d v="2025-07-28T00:00:00"/>
    <x v="9"/>
    <x v="0"/>
    <n v="3"/>
    <n v="163.16"/>
    <x v="1"/>
    <x v="0"/>
    <x v="50"/>
    <x v="1"/>
    <x v="1"/>
    <x v="0"/>
    <x v="0"/>
  </r>
  <r>
    <s v="160"/>
    <s v="Customer_160"/>
    <s v="ORD-96037"/>
    <d v="2025-01-03T00:00:00"/>
    <x v="3"/>
    <x v="3"/>
    <n v="5"/>
    <n v="242.52"/>
    <x v="0"/>
    <x v="4"/>
    <x v="51"/>
    <x v="6"/>
    <x v="1"/>
    <x v="2"/>
    <x v="2"/>
  </r>
  <r>
    <s v="161"/>
    <s v="Customer_161"/>
    <s v="ORD-27653"/>
    <d v="2024-12-15T00:00:00"/>
    <x v="3"/>
    <x v="3"/>
    <n v="4"/>
    <n v="209.32"/>
    <x v="2"/>
    <x v="0"/>
    <x v="52"/>
    <x v="2"/>
    <x v="0"/>
    <x v="2"/>
    <x v="0"/>
  </r>
  <r>
    <s v="162"/>
    <s v="Customer_162"/>
    <s v="ORD-27743"/>
    <d v="2025-05-19T00:00:00"/>
    <x v="0"/>
    <x v="0"/>
    <n v="2"/>
    <n v="155.76"/>
    <x v="3"/>
    <x v="4"/>
    <x v="53"/>
    <x v="7"/>
    <x v="1"/>
    <x v="0"/>
    <x v="2"/>
  </r>
  <r>
    <s v="163"/>
    <s v="Customer_163"/>
    <s v="ORD-24378"/>
    <d v="2023-01-05T00:00:00"/>
    <x v="14"/>
    <x v="1"/>
    <n v="3"/>
    <n v="235.26"/>
    <x v="0"/>
    <x v="0"/>
    <x v="54"/>
    <x v="6"/>
    <x v="2"/>
    <x v="2"/>
    <x v="0"/>
  </r>
  <r>
    <s v="164"/>
    <s v="Customer_164"/>
    <s v="ORD-23010"/>
    <d v="2025-02-09T00:00:00"/>
    <x v="2"/>
    <x v="2"/>
    <s v="Unknown"/>
    <n v="587.64"/>
    <x v="3"/>
    <x v="4"/>
    <x v="1"/>
    <x v="5"/>
    <x v="1"/>
    <x v="1"/>
    <x v="2"/>
  </r>
  <r>
    <s v="165"/>
    <s v="Customer_165"/>
    <s v="ORD-55695"/>
    <d v="2024-11-08T00:00:00"/>
    <x v="7"/>
    <x v="4"/>
    <n v="2"/>
    <n v="443.13"/>
    <x v="3"/>
    <x v="2"/>
    <x v="55"/>
    <x v="0"/>
    <x v="0"/>
    <x v="2"/>
    <x v="1"/>
  </r>
  <r>
    <s v="166"/>
    <s v="Customer_166"/>
    <s v="ORD-97756"/>
    <d v="2025-07-03T00:00:00"/>
    <x v="13"/>
    <x v="4"/>
    <n v="2"/>
    <n v="569.38"/>
    <x v="0"/>
    <x v="0"/>
    <x v="56"/>
    <x v="1"/>
    <x v="1"/>
    <x v="2"/>
    <x v="0"/>
  </r>
  <r>
    <s v="167"/>
    <s v="Customer_167"/>
    <s v="ORD-30329"/>
    <d v="2025-08-07T00:00:00"/>
    <x v="5"/>
    <x v="2"/>
    <s v="Unknown"/>
    <n v="593.92999999999995"/>
    <x v="0"/>
    <x v="1"/>
    <x v="1"/>
    <x v="10"/>
    <x v="1"/>
    <x v="1"/>
    <x v="0"/>
  </r>
  <r>
    <s v="168"/>
    <s v="Customer_168"/>
    <s v="ORD-53430"/>
    <d v="2025-11-04T00:00:00"/>
    <x v="4"/>
    <x v="3"/>
    <n v="2"/>
    <n v="141.49"/>
    <x v="1"/>
    <x v="3"/>
    <x v="57"/>
    <x v="0"/>
    <x v="1"/>
    <x v="0"/>
    <x v="2"/>
  </r>
  <r>
    <s v="169"/>
    <s v="Customer_169"/>
    <s v="ORD-75539"/>
    <d v="2025-08-12T00:00:00"/>
    <x v="5"/>
    <x v="2"/>
    <n v="1"/>
    <n v="582.13"/>
    <x v="3"/>
    <x v="4"/>
    <x v="58"/>
    <x v="10"/>
    <x v="1"/>
    <x v="2"/>
    <x v="2"/>
  </r>
  <r>
    <s v="170"/>
    <s v="Customer_170"/>
    <s v="ORD-21530"/>
    <d v="2025-10-03T00:00:00"/>
    <x v="19"/>
    <x v="4"/>
    <n v="5"/>
    <n v="741.63"/>
    <x v="2"/>
    <x v="1"/>
    <x v="59"/>
    <x v="4"/>
    <x v="1"/>
    <x v="3"/>
    <x v="0"/>
  </r>
  <r>
    <s v="171"/>
    <s v="Customer_171"/>
    <s v="ORD-99790"/>
    <d v="2024-12-06T00:00:00"/>
    <x v="7"/>
    <x v="4"/>
    <n v="3"/>
    <n v="688.68"/>
    <x v="1"/>
    <x v="1"/>
    <x v="60"/>
    <x v="2"/>
    <x v="0"/>
    <x v="3"/>
    <x v="0"/>
  </r>
  <r>
    <s v="172"/>
    <s v="Customer_172"/>
    <s v="ORD-48008"/>
    <d v="2024-11-18T00:00:00"/>
    <x v="6"/>
    <x v="3"/>
    <n v="2"/>
    <n v="942.76"/>
    <x v="2"/>
    <x v="4"/>
    <x v="61"/>
    <x v="0"/>
    <x v="0"/>
    <x v="2"/>
    <x v="2"/>
  </r>
  <r>
    <s v="173"/>
    <s v="Customer_173"/>
    <s v="ORD-42171"/>
    <d v="2025-10-11T00:00:00"/>
    <x v="12"/>
    <x v="0"/>
    <n v="5"/>
    <n v="351.89"/>
    <x v="3"/>
    <x v="0"/>
    <x v="62"/>
    <x v="4"/>
    <x v="1"/>
    <x v="2"/>
    <x v="0"/>
  </r>
  <r>
    <s v="174"/>
    <s v="Customer_174"/>
    <s v="ORD-16766"/>
    <d v="2025-09-20T00:00:00"/>
    <x v="9"/>
    <x v="0"/>
    <n v="4"/>
    <n v="187.48"/>
    <x v="3"/>
    <x v="4"/>
    <x v="63"/>
    <x v="8"/>
    <x v="1"/>
    <x v="2"/>
    <x v="2"/>
  </r>
  <r>
    <s v="175"/>
    <s v="Customer_175"/>
    <s v="ORD-56651"/>
    <d v="2025-02-24T00:00:00"/>
    <x v="15"/>
    <x v="1"/>
    <n v="1"/>
    <n v="111.36"/>
    <x v="3"/>
    <x v="1"/>
    <x v="64"/>
    <x v="5"/>
    <x v="1"/>
    <x v="0"/>
    <x v="0"/>
  </r>
  <r>
    <s v="176"/>
    <s v="Customer_176"/>
    <s v="ORD-95794"/>
    <d v="2025-07-22T00:00:00"/>
    <x v="6"/>
    <x v="3"/>
    <n v="5"/>
    <n v="530.52"/>
    <x v="0"/>
    <x v="0"/>
    <x v="65"/>
    <x v="1"/>
    <x v="1"/>
    <x v="3"/>
    <x v="0"/>
  </r>
  <r>
    <s v="177"/>
    <s v="Customer_177"/>
    <s v="ORD-64136"/>
    <d v="2025-07-28T00:00:00"/>
    <x v="17"/>
    <x v="1"/>
    <n v="1"/>
    <n v="69.48"/>
    <x v="2"/>
    <x v="4"/>
    <x v="66"/>
    <x v="1"/>
    <x v="1"/>
    <x v="0"/>
    <x v="2"/>
  </r>
  <r>
    <s v="178"/>
    <s v="Customer_178"/>
    <s v="ORD-89906"/>
    <d v="2025-09-18T00:00:00"/>
    <x v="2"/>
    <x v="2"/>
    <n v="3"/>
    <n v="472.14"/>
    <x v="1"/>
    <x v="4"/>
    <x v="67"/>
    <x v="8"/>
    <x v="1"/>
    <x v="2"/>
    <x v="2"/>
  </r>
  <r>
    <s v="179"/>
    <s v="Customer_179"/>
    <s v="ORD-99328"/>
    <d v="2025-09-03T00:00:00"/>
    <x v="10"/>
    <x v="2"/>
    <n v="3"/>
    <n v="868.67"/>
    <x v="1"/>
    <x v="2"/>
    <x v="68"/>
    <x v="8"/>
    <x v="1"/>
    <x v="3"/>
    <x v="1"/>
  </r>
  <r>
    <s v="180"/>
    <s v="Customer_180"/>
    <s v="ORD-86629"/>
    <d v="2025-03-26T00:00:00"/>
    <x v="17"/>
    <x v="1"/>
    <n v="2"/>
    <n v="418.38"/>
    <x v="3"/>
    <x v="1"/>
    <x v="69"/>
    <x v="3"/>
    <x v="1"/>
    <x v="2"/>
    <x v="0"/>
  </r>
  <r>
    <s v="181"/>
    <s v="Customer_181"/>
    <s v="ORD-54481"/>
    <d v="2024-12-29T00:00:00"/>
    <x v="1"/>
    <x v="1"/>
    <n v="1"/>
    <n v="266.48"/>
    <x v="0"/>
    <x v="3"/>
    <x v="70"/>
    <x v="2"/>
    <x v="0"/>
    <x v="0"/>
    <x v="2"/>
  </r>
  <r>
    <s v="182"/>
    <s v="Customer_182"/>
    <s v="ORD-79672"/>
    <d v="2025-08-03T00:00:00"/>
    <x v="7"/>
    <x v="4"/>
    <n v="4"/>
    <n v="538.35"/>
    <x v="1"/>
    <x v="1"/>
    <x v="71"/>
    <x v="10"/>
    <x v="1"/>
    <x v="3"/>
    <x v="0"/>
  </r>
  <r>
    <s v="183"/>
    <s v="Customer_183"/>
    <s v="ORD-20916"/>
    <d v="2025-03-10T00:00:00"/>
    <x v="7"/>
    <x v="4"/>
    <n v="5"/>
    <s v="Unknown"/>
    <x v="0"/>
    <x v="4"/>
    <x v="1"/>
    <x v="3"/>
    <x v="1"/>
    <x v="1"/>
    <x v="2"/>
  </r>
  <r>
    <s v="184"/>
    <s v="Customer_184"/>
    <s v="ORD-67799"/>
    <d v="2025-02-15T00:00:00"/>
    <x v="19"/>
    <x v="4"/>
    <n v="4"/>
    <n v="101.19"/>
    <x v="2"/>
    <x v="1"/>
    <x v="72"/>
    <x v="5"/>
    <x v="1"/>
    <x v="0"/>
    <x v="0"/>
  </r>
  <r>
    <s v="185"/>
    <s v="Customer_185"/>
    <s v="ORD-57123"/>
    <d v="2025-08-14T00:00:00"/>
    <x v="16"/>
    <x v="2"/>
    <n v="2"/>
    <n v="730.92"/>
    <x v="0"/>
    <x v="3"/>
    <x v="73"/>
    <x v="10"/>
    <x v="1"/>
    <x v="2"/>
    <x v="2"/>
  </r>
  <r>
    <s v="186"/>
    <s v="Customer_186"/>
    <s v="ORD-90569"/>
    <d v="2025-10-06T00:00:00"/>
    <x v="17"/>
    <x v="1"/>
    <n v="1"/>
    <n v="365.34"/>
    <x v="2"/>
    <x v="2"/>
    <x v="74"/>
    <x v="4"/>
    <x v="1"/>
    <x v="0"/>
    <x v="1"/>
  </r>
  <r>
    <s v="187"/>
    <s v="Customer_187"/>
    <s v="ORD-41292"/>
    <d v="2024-11-19T00:00:00"/>
    <x v="1"/>
    <x v="1"/>
    <n v="3"/>
    <n v="882.96"/>
    <x v="2"/>
    <x v="4"/>
    <x v="75"/>
    <x v="0"/>
    <x v="0"/>
    <x v="3"/>
    <x v="2"/>
  </r>
  <r>
    <s v="188"/>
    <s v="Customer_188"/>
    <s v="ORD-58590"/>
    <d v="2024-11-19T00:00:00"/>
    <x v="9"/>
    <x v="0"/>
    <n v="5"/>
    <n v="504.05"/>
    <x v="0"/>
    <x v="0"/>
    <x v="76"/>
    <x v="0"/>
    <x v="0"/>
    <x v="3"/>
    <x v="0"/>
  </r>
  <r>
    <s v="189"/>
    <s v="Customer_189"/>
    <s v="ORD-30627"/>
    <d v="2025-08-14T00:00:00"/>
    <x v="12"/>
    <x v="0"/>
    <n v="1"/>
    <n v="814.68"/>
    <x v="0"/>
    <x v="4"/>
    <x v="77"/>
    <x v="10"/>
    <x v="1"/>
    <x v="2"/>
    <x v="2"/>
  </r>
  <r>
    <s v="190"/>
    <s v="Customer_190"/>
    <s v="ORD-38469"/>
    <d v="2025-06-29T00:00:00"/>
    <x v="11"/>
    <x v="0"/>
    <n v="1"/>
    <n v="920.37"/>
    <x v="2"/>
    <x v="1"/>
    <x v="78"/>
    <x v="9"/>
    <x v="1"/>
    <x v="2"/>
    <x v="0"/>
  </r>
  <r>
    <s v="191"/>
    <s v="Customer_191"/>
    <s v="ORD-41810"/>
    <d v="2025-07-18T00:00:00"/>
    <x v="8"/>
    <x v="3"/>
    <n v="2"/>
    <n v="881.02"/>
    <x v="0"/>
    <x v="4"/>
    <x v="79"/>
    <x v="1"/>
    <x v="1"/>
    <x v="2"/>
    <x v="2"/>
  </r>
  <r>
    <s v="193"/>
    <s v="Customer_193"/>
    <s v="ORD-42475"/>
    <d v="2025-06-06T00:00:00"/>
    <x v="5"/>
    <x v="2"/>
    <s v="Unknown"/>
    <n v="522.02"/>
    <x v="1"/>
    <x v="0"/>
    <x v="1"/>
    <x v="9"/>
    <x v="1"/>
    <x v="1"/>
    <x v="0"/>
  </r>
  <r>
    <s v="194"/>
    <s v="Customer_194"/>
    <s v="ORD-69764"/>
    <d v="2025-02-10T00:00:00"/>
    <x v="12"/>
    <x v="0"/>
    <n v="5"/>
    <n v="944.54"/>
    <x v="0"/>
    <x v="4"/>
    <x v="80"/>
    <x v="5"/>
    <x v="1"/>
    <x v="3"/>
    <x v="2"/>
  </r>
  <r>
    <s v="195"/>
    <s v="Customer_195"/>
    <s v="ORD-82876"/>
    <d v="2025-06-19T00:00:00"/>
    <x v="4"/>
    <x v="3"/>
    <n v="5"/>
    <n v="817.46"/>
    <x v="0"/>
    <x v="4"/>
    <x v="81"/>
    <x v="9"/>
    <x v="1"/>
    <x v="3"/>
    <x v="2"/>
  </r>
  <r>
    <s v="196"/>
    <s v="Customer_196"/>
    <s v="ORD-78384"/>
    <d v="2024-12-23T00:00:00"/>
    <x v="11"/>
    <x v="0"/>
    <s v="Unknown"/>
    <s v="Unknown"/>
    <x v="1"/>
    <x v="2"/>
    <x v="1"/>
    <x v="2"/>
    <x v="0"/>
    <x v="1"/>
    <x v="1"/>
  </r>
  <r>
    <s v="197"/>
    <s v="Customer_197"/>
    <s v="ORD-79139"/>
    <d v="2025-06-23T00:00:00"/>
    <x v="0"/>
    <x v="0"/>
    <n v="1"/>
    <n v="160.16"/>
    <x v="1"/>
    <x v="3"/>
    <x v="82"/>
    <x v="9"/>
    <x v="1"/>
    <x v="0"/>
    <x v="2"/>
  </r>
  <r>
    <s v="198"/>
    <s v="Customer_198"/>
    <s v="ORD-14608"/>
    <d v="2025-07-27T00:00:00"/>
    <x v="11"/>
    <x v="0"/>
    <n v="2"/>
    <n v="497.01"/>
    <x v="0"/>
    <x v="0"/>
    <x v="83"/>
    <x v="1"/>
    <x v="1"/>
    <x v="2"/>
    <x v="0"/>
  </r>
  <r>
    <s v="199"/>
    <s v="Customer_199"/>
    <s v="ORD-82922"/>
    <d v="2025-01-22T00:00:00"/>
    <x v="0"/>
    <x v="0"/>
    <n v="5"/>
    <n v="372.28"/>
    <x v="3"/>
    <x v="0"/>
    <x v="84"/>
    <x v="6"/>
    <x v="1"/>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6D3590-6E3A-46B7-BCE7-53DDA365F6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5">
    <pivotField showAll="0"/>
    <pivotField showAll="0"/>
    <pivotField showAll="0"/>
    <pivotField numFmtId="14" showAll="0"/>
    <pivotField showAll="0"/>
    <pivotField axis="axisRow" showAll="0" sortType="descending">
      <items count="6">
        <item x="3"/>
        <item x="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13">
        <item x="6"/>
        <item x="5"/>
        <item x="3"/>
        <item x="11"/>
        <item x="7"/>
        <item x="9"/>
        <item x="1"/>
        <item x="10"/>
        <item x="8"/>
        <item x="4"/>
        <item x="0"/>
        <item x="2"/>
        <item t="default"/>
      </items>
    </pivotField>
    <pivotField showAll="0"/>
    <pivotField showAll="0"/>
    <pivotField showAll="0"/>
  </pivotFields>
  <rowFields count="1">
    <field x="5"/>
  </rowFields>
  <rowItems count="6">
    <i>
      <x/>
    </i>
    <i>
      <x v="3"/>
    </i>
    <i>
      <x v="1"/>
    </i>
    <i>
      <x v="4"/>
    </i>
    <i>
      <x v="2"/>
    </i>
    <i t="grand">
      <x/>
    </i>
  </rowItems>
  <colItems count="1">
    <i/>
  </colItems>
  <dataFields count="1">
    <dataField name="Sum of Total Revenue" fld="10" baseField="0" baseItem="0"/>
  </dataFields>
  <chartFormats count="2">
    <chartFormat chart="2" format="0" series="1">
      <pivotArea type="data" outline="0" fieldPosition="0">
        <references count="1">
          <reference field="4294967294" count="1" selected="0">
            <x v="0"/>
          </reference>
        </references>
      </pivotArea>
    </chartFormat>
    <chartFormat chart="4" format="10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5EE5C8-D1B7-40A8-ACFE-6FCD6EAD267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C4:D15" firstHeaderRow="1" firstDataRow="1" firstDataCol="1"/>
  <pivotFields count="15">
    <pivotField showAll="0"/>
    <pivotField showAll="0"/>
    <pivotField showAll="0"/>
    <pivotField numFmtId="14" showAll="0"/>
    <pivotField axis="axisRow" showAll="0" measureFilter="1" sortType="descending">
      <items count="21">
        <item x="5"/>
        <item x="4"/>
        <item x="0"/>
        <item x="6"/>
        <item x="8"/>
        <item x="16"/>
        <item x="15"/>
        <item x="18"/>
        <item x="19"/>
        <item x="12"/>
        <item x="17"/>
        <item x="9"/>
        <item x="3"/>
        <item x="7"/>
        <item x="1"/>
        <item x="14"/>
        <item x="2"/>
        <item x="13"/>
        <item x="11"/>
        <item x="10"/>
        <item t="default"/>
      </items>
      <autoSortScope>
        <pivotArea dataOnly="0" outline="0" fieldPosition="0">
          <references count="1">
            <reference field="4294967294" count="1" selected="0">
              <x v="0"/>
            </reference>
          </references>
        </pivotArea>
      </autoSortScope>
    </pivotField>
    <pivotField showAll="0" sortType="descending">
      <items count="6">
        <item x="3"/>
        <item x="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13">
        <item x="6"/>
        <item x="5"/>
        <item x="3"/>
        <item x="11"/>
        <item x="7"/>
        <item x="9"/>
        <item x="1"/>
        <item x="10"/>
        <item x="8"/>
        <item x="4"/>
        <item x="0"/>
        <item x="2"/>
        <item t="default"/>
      </items>
    </pivotField>
    <pivotField showAll="0"/>
    <pivotField showAll="0"/>
    <pivotField showAll="0"/>
  </pivotFields>
  <rowFields count="1">
    <field x="4"/>
  </rowFields>
  <rowItems count="11">
    <i>
      <x v="13"/>
    </i>
    <i>
      <x v="3"/>
    </i>
    <i>
      <x v="9"/>
    </i>
    <i>
      <x v="1"/>
    </i>
    <i>
      <x v="2"/>
    </i>
    <i>
      <x v="12"/>
    </i>
    <i>
      <x/>
    </i>
    <i>
      <x v="4"/>
    </i>
    <i>
      <x v="5"/>
    </i>
    <i>
      <x v="17"/>
    </i>
    <i t="grand">
      <x/>
    </i>
  </rowItems>
  <colItems count="1">
    <i/>
  </colItems>
  <dataFields count="1">
    <dataField name="Sum of Total Revenue" fld="10" baseField="0" baseItem="0"/>
  </dataFields>
  <chartFormats count="3">
    <chartFormat chart="2"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859037-3272-45A6-B425-6A5E7B1E53B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D6:E19" firstHeaderRow="1" firstDataRow="1" firstDataCol="1"/>
  <pivotFields count="15">
    <pivotField showAll="0"/>
    <pivotField showAll="0"/>
    <pivotField showAll="0"/>
    <pivotField numFmtId="14" showAll="0"/>
    <pivotField showAll="0" measureFilter="1" sortType="ascending">
      <items count="21">
        <item x="5"/>
        <item x="4"/>
        <item x="0"/>
        <item x="6"/>
        <item x="8"/>
        <item x="16"/>
        <item x="15"/>
        <item x="18"/>
        <item x="19"/>
        <item x="12"/>
        <item x="17"/>
        <item x="9"/>
        <item x="3"/>
        <item x="7"/>
        <item x="1"/>
        <item x="14"/>
        <item x="2"/>
        <item x="13"/>
        <item x="11"/>
        <item x="10"/>
        <item t="default"/>
      </items>
      <autoSortScope>
        <pivotArea dataOnly="0" outline="0" fieldPosition="0">
          <references count="1">
            <reference field="4294967294" count="1" selected="0">
              <x v="0"/>
            </reference>
          </references>
        </pivotArea>
      </autoSortScope>
    </pivotField>
    <pivotField showAll="0" sortType="descending">
      <items count="6">
        <item x="3"/>
        <item x="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axis="axisRow" showAll="0" sortType="ascending">
      <items count="13">
        <item x="6"/>
        <item x="5"/>
        <item x="3"/>
        <item x="11"/>
        <item x="7"/>
        <item x="9"/>
        <item x="1"/>
        <item x="10"/>
        <item x="8"/>
        <item x="4"/>
        <item x="0"/>
        <item x="2"/>
        <item t="default"/>
      </items>
    </pivotField>
    <pivotField showAll="0">
      <items count="4">
        <item x="2"/>
        <item x="0"/>
        <item x="1"/>
        <item t="default"/>
      </items>
    </pivotField>
    <pivotField showAll="0"/>
    <pivotField showAll="0"/>
  </pivotFields>
  <rowFields count="1">
    <field x="11"/>
  </rowFields>
  <rowItems count="13">
    <i>
      <x/>
    </i>
    <i>
      <x v="1"/>
    </i>
    <i>
      <x v="2"/>
    </i>
    <i>
      <x v="3"/>
    </i>
    <i>
      <x v="4"/>
    </i>
    <i>
      <x v="5"/>
    </i>
    <i>
      <x v="6"/>
    </i>
    <i>
      <x v="7"/>
    </i>
    <i>
      <x v="8"/>
    </i>
    <i>
      <x v="9"/>
    </i>
    <i>
      <x v="10"/>
    </i>
    <i>
      <x v="11"/>
    </i>
    <i t="grand">
      <x/>
    </i>
  </rowItems>
  <colItems count="1">
    <i/>
  </colItems>
  <dataFields count="1">
    <dataField name="Sum of Total Revenue" fld="10" baseField="0" baseItem="0"/>
  </dataFields>
  <formats count="3">
    <format dxfId="5">
      <pivotArea collapsedLevelsAreSubtotals="1" fieldPosition="0">
        <references count="1">
          <reference field="11" count="1">
            <x v="0"/>
          </reference>
        </references>
      </pivotArea>
    </format>
    <format dxfId="4">
      <pivotArea collapsedLevelsAreSubtotals="1" fieldPosition="0">
        <references count="1">
          <reference field="11" count="11">
            <x v="1"/>
            <x v="2"/>
            <x v="3"/>
            <x v="4"/>
            <x v="5"/>
            <x v="6"/>
            <x v="7"/>
            <x v="8"/>
            <x v="9"/>
            <x v="10"/>
            <x v="11"/>
          </reference>
        </references>
      </pivotArea>
    </format>
    <format dxfId="3">
      <pivotArea grandRow="1"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655912-BCBF-41BB-B69D-2143989A7CF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D3:E7" firstHeaderRow="1" firstDataRow="1" firstDataCol="1"/>
  <pivotFields count="15">
    <pivotField showAll="0"/>
    <pivotField showAll="0"/>
    <pivotField dataField="1" showAll="0"/>
    <pivotField numFmtId="14" showAll="0"/>
    <pivotField showAll="0">
      <items count="21">
        <item x="5"/>
        <item x="4"/>
        <item x="0"/>
        <item x="6"/>
        <item x="8"/>
        <item x="16"/>
        <item x="15"/>
        <item x="18"/>
        <item x="19"/>
        <item x="12"/>
        <item x="17"/>
        <item x="9"/>
        <item x="3"/>
        <item x="7"/>
        <item x="1"/>
        <item x="14"/>
        <item x="2"/>
        <item x="13"/>
        <item x="11"/>
        <item x="10"/>
        <item t="default"/>
      </items>
    </pivotField>
    <pivotField showAll="0">
      <items count="6">
        <item x="3"/>
        <item x="4"/>
        <item x="1"/>
        <item x="0"/>
        <item x="2"/>
        <item t="default"/>
      </items>
    </pivotField>
    <pivotField showAll="0"/>
    <pivotField showAll="0"/>
    <pivotField showAll="0"/>
    <pivotField showAll="0">
      <items count="6">
        <item x="3"/>
        <item x="2"/>
        <item x="1"/>
        <item x="4"/>
        <item x="0"/>
        <item t="default"/>
      </items>
    </pivotField>
    <pivotField showAll="0"/>
    <pivotField showAll="0">
      <items count="13">
        <item x="6"/>
        <item x="5"/>
        <item x="3"/>
        <item x="11"/>
        <item x="7"/>
        <item x="9"/>
        <item x="1"/>
        <item x="10"/>
        <item x="8"/>
        <item x="4"/>
        <item x="0"/>
        <item x="2"/>
        <item t="default"/>
      </items>
    </pivotField>
    <pivotField showAll="0"/>
    <pivotField showAll="0">
      <items count="5">
        <item x="3"/>
        <item x="0"/>
        <item x="2"/>
        <item x="1"/>
        <item t="default"/>
      </items>
    </pivotField>
    <pivotField axis="axisRow" showAll="0">
      <items count="4">
        <item x="1"/>
        <item x="0"/>
        <item x="2"/>
        <item t="default"/>
      </items>
    </pivotField>
  </pivotFields>
  <rowFields count="1">
    <field x="14"/>
  </rowFields>
  <rowItems count="4">
    <i>
      <x/>
    </i>
    <i>
      <x v="1"/>
    </i>
    <i>
      <x v="2"/>
    </i>
    <i t="grand">
      <x/>
    </i>
  </rowItems>
  <colItems count="1">
    <i/>
  </colItems>
  <dataFields count="1">
    <dataField name="Count of Order_ID" fld="2" subtotal="count" baseField="0" baseItem="0"/>
  </dataFields>
  <chartFormats count="13">
    <chartFormat chart="33"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2" format="5">
      <pivotArea type="data" outline="0" fieldPosition="0">
        <references count="2">
          <reference field="4294967294" count="1" selected="0">
            <x v="0"/>
          </reference>
          <reference field="14" count="1" selected="0">
            <x v="0"/>
          </reference>
        </references>
      </pivotArea>
    </chartFormat>
    <chartFormat chart="42" format="6">
      <pivotArea type="data" outline="0" fieldPosition="0">
        <references count="2">
          <reference field="4294967294" count="1" selected="0">
            <x v="0"/>
          </reference>
          <reference field="14" count="1" selected="0">
            <x v="1"/>
          </reference>
        </references>
      </pivotArea>
    </chartFormat>
    <chartFormat chart="42" format="7">
      <pivotArea type="data" outline="0" fieldPosition="0">
        <references count="2">
          <reference field="4294967294" count="1" selected="0">
            <x v="0"/>
          </reference>
          <reference field="14" count="1" selected="0">
            <x v="2"/>
          </reference>
        </references>
      </pivotArea>
    </chartFormat>
    <chartFormat chart="43" format="8" series="1">
      <pivotArea type="data" outline="0" fieldPosition="0">
        <references count="1">
          <reference field="4294967294" count="1" selected="0">
            <x v="0"/>
          </reference>
        </references>
      </pivotArea>
    </chartFormat>
    <chartFormat chart="43" format="9">
      <pivotArea type="data" outline="0" fieldPosition="0">
        <references count="2">
          <reference field="4294967294" count="1" selected="0">
            <x v="0"/>
          </reference>
          <reference field="14" count="1" selected="0">
            <x v="0"/>
          </reference>
        </references>
      </pivotArea>
    </chartFormat>
    <chartFormat chart="43" format="10">
      <pivotArea type="data" outline="0" fieldPosition="0">
        <references count="2">
          <reference field="4294967294" count="1" selected="0">
            <x v="0"/>
          </reference>
          <reference field="14" count="1" selected="0">
            <x v="1"/>
          </reference>
        </references>
      </pivotArea>
    </chartFormat>
    <chartFormat chart="43" format="11">
      <pivotArea type="data" outline="0" fieldPosition="0">
        <references count="2">
          <reference field="4294967294" count="1" selected="0">
            <x v="0"/>
          </reference>
          <reference field="14" count="1" selected="0">
            <x v="2"/>
          </reference>
        </references>
      </pivotArea>
    </chartFormat>
    <chartFormat chart="44" format="12" series="1">
      <pivotArea type="data" outline="0" fieldPosition="0">
        <references count="1">
          <reference field="4294967294" count="1" selected="0">
            <x v="0"/>
          </reference>
        </references>
      </pivotArea>
    </chartFormat>
    <chartFormat chart="44" format="13">
      <pivotArea type="data" outline="0" fieldPosition="0">
        <references count="2">
          <reference field="4294967294" count="1" selected="0">
            <x v="0"/>
          </reference>
          <reference field="14" count="1" selected="0">
            <x v="0"/>
          </reference>
        </references>
      </pivotArea>
    </chartFormat>
    <chartFormat chart="44" format="14">
      <pivotArea type="data" outline="0" fieldPosition="0">
        <references count="2">
          <reference field="4294967294" count="1" selected="0">
            <x v="0"/>
          </reference>
          <reference field="14" count="1" selected="0">
            <x v="1"/>
          </reference>
        </references>
      </pivotArea>
    </chartFormat>
    <chartFormat chart="44" format="1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15B0BA-0BDA-4C20-994E-66B2C0E778D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E5:F10" firstHeaderRow="1" firstDataRow="1" firstDataCol="1"/>
  <pivotFields count="15">
    <pivotField showAll="0"/>
    <pivotField showAll="0"/>
    <pivotField dataField="1" showAll="0"/>
    <pivotField numFmtId="14" showAll="0"/>
    <pivotField showAll="0">
      <items count="21">
        <item x="5"/>
        <item x="4"/>
        <item x="0"/>
        <item x="6"/>
        <item x="8"/>
        <item x="16"/>
        <item x="15"/>
        <item x="18"/>
        <item x="19"/>
        <item x="12"/>
        <item x="17"/>
        <item x="9"/>
        <item x="3"/>
        <item x="7"/>
        <item x="1"/>
        <item x="14"/>
        <item x="2"/>
        <item x="13"/>
        <item x="11"/>
        <item x="10"/>
        <item t="default"/>
      </items>
    </pivotField>
    <pivotField showAll="0">
      <items count="6">
        <item x="3"/>
        <item x="4"/>
        <item x="1"/>
        <item x="0"/>
        <item x="2"/>
        <item t="default"/>
      </items>
    </pivotField>
    <pivotField showAll="0"/>
    <pivotField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items count="6">
        <item x="3"/>
        <item x="2"/>
        <item x="1"/>
        <item x="4"/>
        <item x="0"/>
        <item t="default"/>
      </items>
    </pivotField>
    <pivotField showAll="0">
      <items count="86">
        <item x="47"/>
        <item x="66"/>
        <item x="64"/>
        <item x="0"/>
        <item x="82"/>
        <item x="42"/>
        <item x="70"/>
        <item x="26"/>
        <item x="57"/>
        <item x="53"/>
        <item x="74"/>
        <item x="5"/>
        <item x="2"/>
        <item x="72"/>
        <item x="12"/>
        <item x="50"/>
        <item x="30"/>
        <item x="4"/>
        <item x="58"/>
        <item x="7"/>
        <item x="40"/>
        <item x="29"/>
        <item x="44"/>
        <item x="54"/>
        <item x="63"/>
        <item x="77"/>
        <item x="13"/>
        <item x="69"/>
        <item x="52"/>
        <item x="8"/>
        <item x="55"/>
        <item x="43"/>
        <item x="78"/>
        <item x="49"/>
        <item x="83"/>
        <item x="48"/>
        <item x="18"/>
        <item x="45"/>
        <item x="56"/>
        <item x="3"/>
        <item x="51"/>
        <item x="15"/>
        <item x="31"/>
        <item x="38"/>
        <item x="67"/>
        <item x="73"/>
        <item x="14"/>
        <item x="33"/>
        <item x="22"/>
        <item x="27"/>
        <item x="37"/>
        <item x="10"/>
        <item x="16"/>
        <item x="62"/>
        <item x="79"/>
        <item x="28"/>
        <item x="19"/>
        <item x="84"/>
        <item x="61"/>
        <item x="9"/>
        <item x="60"/>
        <item x="17"/>
        <item x="71"/>
        <item x="32"/>
        <item x="39"/>
        <item x="76"/>
        <item x="68"/>
        <item x="75"/>
        <item x="65"/>
        <item x="23"/>
        <item x="6"/>
        <item x="24"/>
        <item x="11"/>
        <item x="20"/>
        <item x="25"/>
        <item x="34"/>
        <item x="21"/>
        <item x="59"/>
        <item x="46"/>
        <item x="81"/>
        <item x="35"/>
        <item x="36"/>
        <item x="41"/>
        <item x="80"/>
        <item x="1"/>
        <item t="default"/>
      </items>
    </pivotField>
    <pivotField showAll="0">
      <items count="13">
        <item x="6"/>
        <item x="5"/>
        <item x="3"/>
        <item x="11"/>
        <item x="7"/>
        <item x="9"/>
        <item x="1"/>
        <item x="10"/>
        <item x="8"/>
        <item x="4"/>
        <item x="0"/>
        <item x="2"/>
        <item t="default"/>
      </items>
    </pivotField>
    <pivotField showAll="0"/>
    <pivotField showAll="0">
      <items count="5">
        <item x="3"/>
        <item x="0"/>
        <item x="2"/>
        <item x="1"/>
        <item t="default"/>
      </items>
    </pivotField>
    <pivotField showAll="0">
      <items count="4">
        <item x="1"/>
        <item x="0"/>
        <item x="2"/>
        <item t="default"/>
      </items>
    </pivotField>
  </pivotFields>
  <rowFields count="1">
    <field x="8"/>
  </rowFields>
  <rowItems count="5">
    <i>
      <x v="1"/>
    </i>
    <i>
      <x v="3"/>
    </i>
    <i>
      <x/>
    </i>
    <i>
      <x v="2"/>
    </i>
    <i t="grand">
      <x/>
    </i>
  </rowItems>
  <colItems count="1">
    <i/>
  </colItems>
  <dataFields count="1">
    <dataField name="Count of Order_ID" fld="2" subtotal="count" baseField="0" baseItem="0"/>
  </dataFields>
  <chartFormats count="4">
    <chartFormat chart="33"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44BDDC-0489-4099-9C4C-8BC953FD54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D4:E5" firstHeaderRow="0" firstDataRow="1" firstDataCol="0"/>
  <pivotFields count="15">
    <pivotField showAll="0"/>
    <pivotField showAll="0"/>
    <pivotField dataField="1" showAll="0"/>
    <pivotField numFmtId="14" showAll="0"/>
    <pivotField showAll="0">
      <items count="21">
        <item x="5"/>
        <item x="4"/>
        <item x="0"/>
        <item x="6"/>
        <item x="8"/>
        <item x="16"/>
        <item x="15"/>
        <item x="18"/>
        <item x="19"/>
        <item x="12"/>
        <item x="17"/>
        <item x="9"/>
        <item x="3"/>
        <item x="7"/>
        <item x="1"/>
        <item x="14"/>
        <item x="2"/>
        <item x="13"/>
        <item x="11"/>
        <item x="10"/>
        <item t="default"/>
      </items>
    </pivotField>
    <pivotField showAll="0">
      <items count="6">
        <item x="3"/>
        <item x="4"/>
        <item x="1"/>
        <item x="0"/>
        <item x="2"/>
        <item t="default"/>
      </items>
    </pivotField>
    <pivotField showAll="0"/>
    <pivotField showAll="0"/>
    <pivotField showAll="0" sortType="ascending">
      <items count="5">
        <item x="2"/>
        <item x="0"/>
        <item x="3"/>
        <item x="1"/>
        <item t="default"/>
      </items>
      <autoSortScope>
        <pivotArea dataOnly="0" outline="0" fieldPosition="0">
          <references count="1">
            <reference field="4294967294" count="1" selected="0">
              <x v="0"/>
            </reference>
          </references>
        </pivotArea>
      </autoSortScope>
    </pivotField>
    <pivotField showAll="0">
      <items count="6">
        <item x="3"/>
        <item x="2"/>
        <item x="1"/>
        <item x="4"/>
        <item x="0"/>
        <item t="default"/>
      </items>
    </pivotField>
    <pivotField dataField="1" showAll="0">
      <items count="86">
        <item x="47"/>
        <item x="66"/>
        <item x="64"/>
        <item x="0"/>
        <item x="82"/>
        <item x="42"/>
        <item x="70"/>
        <item x="26"/>
        <item x="57"/>
        <item x="53"/>
        <item x="74"/>
        <item x="5"/>
        <item x="2"/>
        <item x="72"/>
        <item x="12"/>
        <item x="50"/>
        <item x="30"/>
        <item x="4"/>
        <item x="58"/>
        <item x="7"/>
        <item x="40"/>
        <item x="29"/>
        <item x="44"/>
        <item x="54"/>
        <item x="63"/>
        <item x="77"/>
        <item x="13"/>
        <item x="69"/>
        <item x="52"/>
        <item x="8"/>
        <item x="55"/>
        <item x="43"/>
        <item x="78"/>
        <item x="49"/>
        <item x="83"/>
        <item x="48"/>
        <item x="18"/>
        <item x="45"/>
        <item x="56"/>
        <item x="3"/>
        <item x="51"/>
        <item x="15"/>
        <item x="31"/>
        <item x="38"/>
        <item x="67"/>
        <item x="73"/>
        <item x="14"/>
        <item x="33"/>
        <item x="22"/>
        <item x="27"/>
        <item x="37"/>
        <item x="10"/>
        <item x="16"/>
        <item x="62"/>
        <item x="79"/>
        <item x="28"/>
        <item x="19"/>
        <item x="84"/>
        <item x="61"/>
        <item x="9"/>
        <item x="60"/>
        <item x="17"/>
        <item x="71"/>
        <item x="32"/>
        <item x="39"/>
        <item x="76"/>
        <item x="68"/>
        <item x="75"/>
        <item x="65"/>
        <item x="23"/>
        <item x="6"/>
        <item x="24"/>
        <item x="11"/>
        <item x="20"/>
        <item x="25"/>
        <item x="34"/>
        <item x="21"/>
        <item x="59"/>
        <item x="46"/>
        <item x="81"/>
        <item x="35"/>
        <item x="36"/>
        <item x="41"/>
        <item x="80"/>
        <item x="1"/>
        <item t="default"/>
      </items>
    </pivotField>
    <pivotField showAll="0">
      <items count="13">
        <item x="6"/>
        <item x="5"/>
        <item x="3"/>
        <item x="11"/>
        <item x="7"/>
        <item x="9"/>
        <item x="1"/>
        <item x="10"/>
        <item x="8"/>
        <item x="4"/>
        <item x="0"/>
        <item x="2"/>
        <item t="default"/>
      </items>
    </pivotField>
    <pivotField showAll="0"/>
    <pivotField showAll="0">
      <items count="5">
        <item x="3"/>
        <item x="0"/>
        <item x="2"/>
        <item x="1"/>
        <item t="default"/>
      </items>
    </pivotField>
    <pivotField showAll="0">
      <items count="4">
        <item x="1"/>
        <item x="0"/>
        <item x="2"/>
        <item t="default"/>
      </items>
    </pivotField>
  </pivotFields>
  <rowItems count="1">
    <i/>
  </rowItems>
  <colFields count="1">
    <field x="-2"/>
  </colFields>
  <colItems count="2">
    <i>
      <x/>
    </i>
    <i i="1">
      <x v="1"/>
    </i>
  </colItems>
  <dataFields count="2">
    <dataField name="Count of Order_ID" fld="2" subtotal="count" baseField="0" baseItem="0"/>
    <dataField name="Sum of Total Revenue" fld="10" baseField="0" baseItem="1" numFmtId="175"/>
  </dataFields>
  <formats count="1">
    <format dxfId="0">
      <pivotArea outline="0" collapsedLevelsAreSubtotals="1" fieldPosition="0">
        <references count="1">
          <reference field="4294967294" count="1" selected="0">
            <x v="1"/>
          </reference>
        </references>
      </pivotArea>
    </format>
  </formats>
  <chartFormats count="3">
    <chartFormat chart="33"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7C3D0EE-2C9E-4E0F-8C34-567B1BAAFEB2}" autoFormatId="16" applyNumberFormats="0" applyBorderFormats="0" applyFontFormats="0" applyPatternFormats="0" applyAlignmentFormats="0" applyWidthHeightFormats="0">
  <queryTableRefresh nextId="17">
    <queryTableFields count="15">
      <queryTableField id="1" name="ID" tableColumnId="1"/>
      <queryTableField id="2" name="Customer_Name" tableColumnId="2"/>
      <queryTableField id="3" name="Order_ID" tableColumnId="3"/>
      <queryTableField id="4" name="Order_Date" tableColumnId="4"/>
      <queryTableField id="5" name="Product" tableColumnId="5"/>
      <queryTableField id="6" name="Category" tableColumnId="6"/>
      <queryTableField id="7" name="Quantity" tableColumnId="7"/>
      <queryTableField id="8" name="Price" tableColumnId="8"/>
      <queryTableField id="9" name="Payment_Method" tableColumnId="9"/>
      <queryTableField id="10" name="Status" tableColumnId="10"/>
      <queryTableField id="11" name="Total Revenue" tableColumnId="11"/>
      <queryTableField id="16" dataBound="0" tableColumnId="16"/>
      <queryTableField id="13" name="Year" tableColumnId="13"/>
      <queryTableField id="14" name="Revenue Bucket" tableColumnId="14"/>
      <queryTableField id="15" name="Custom" tableColumnId="15"/>
    </queryTableFields>
    <queryTableDeletedFields count="1">
      <deletedField name="Month Name"/>
    </queryTableDeletedFields>
  </queryTableRefresh>
  <extLst>
    <ext xmlns:x15="http://schemas.microsoft.com/office/spreadsheetml/2010/11/main" uri="{883FBD77-0823-4a55-B5E3-86C4891E6966}">
      <x15:queryTable sourceDataName="Query - messy_ecommerce_sales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0CE3897-9DA1-4049-8E18-D0C6B4EC7505}" sourceName="Category">
  <pivotTables>
    <pivotTable tabId="8" name="PivotTable7"/>
    <pivotTable tabId="6" name="PivotTable5"/>
    <pivotTable tabId="9" name="PivotTable8"/>
    <pivotTable tabId="4" name="PivotTable2"/>
    <pivotTable tabId="12" name="PivotTable1"/>
    <pivotTable tabId="5" name="PivotTable3"/>
  </pivotTables>
  <data>
    <tabular pivotCacheId="532108689">
      <items count="5">
        <i x="3" s="1"/>
        <i x="4"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7706C0D-035D-4EEE-B01A-C486A8D83C9F}" sourceName="Month">
  <pivotTables>
    <pivotTable tabId="9" name="PivotTable8"/>
    <pivotTable tabId="6" name="PivotTable5"/>
    <pivotTable tabId="4" name="PivotTable2"/>
    <pivotTable tabId="12" name="PivotTable1"/>
    <pivotTable tabId="8" name="PivotTable7"/>
    <pivotTable tabId="5" name="PivotTable3"/>
  </pivotTables>
  <data>
    <tabular pivotCacheId="532108689">
      <items count="12">
        <i x="6" s="1"/>
        <i x="5" s="1"/>
        <i x="3" s="1"/>
        <i x="11" s="1"/>
        <i x="7" s="1"/>
        <i x="9" s="1"/>
        <i x="1" s="1"/>
        <i x="10" s="1"/>
        <i x="8"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D054DD4-4D6B-419A-81B8-9423CC34120E}"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F1C84BA-1F61-4C3A-87D3-CD9CDA04A233}" cache="Slicer_Month" caption="Mont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CB51921-E2B6-4532-A52A-CF4E3982A3C9}" cache="Slicer_Category" caption="Category" style="SlicerStyleLight4" rowHeight="234950"/>
  <slicer name="Month 1" xr10:uid="{7B7044AE-1696-4E6D-8C49-2D900E0DBDAA}" cache="Slicer_Month" caption="Month"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F440CE-FDD4-43BA-AED6-9B885B9543D8}" name="messy_ecommerce_sales_data" displayName="messy_ecommerce_sales_data" ref="A1:O100" tableType="queryTable" totalsRowShown="0">
  <autoFilter ref="A1:O100" xr:uid="{C1F440CE-FDD4-43BA-AED6-9B885B9543D8}"/>
  <tableColumns count="15">
    <tableColumn id="1" xr3:uid="{40A2F7A6-E01D-4AC6-946E-F655166C14FD}" uniqueName="1" name="ID" queryTableFieldId="1" dataDxfId="14"/>
    <tableColumn id="2" xr3:uid="{D02AD4F2-3E4B-436A-A7D1-DF58B3422CED}" uniqueName="2" name="Customer_Name" queryTableFieldId="2" dataDxfId="13"/>
    <tableColumn id="3" xr3:uid="{4D0E66E6-52A5-4DBC-8E07-429EBC6BD5FF}" uniqueName="3" name="Order_ID" queryTableFieldId="3" dataDxfId="12"/>
    <tableColumn id="4" xr3:uid="{4527B354-1051-4298-B6CC-9B957E3E562D}" uniqueName="4" name="Order_Date" queryTableFieldId="4" dataDxfId="11"/>
    <tableColumn id="5" xr3:uid="{9675E451-B82B-47AB-A6D4-842ABB8394E4}" uniqueName="5" name="Product" queryTableFieldId="5" dataDxfId="10"/>
    <tableColumn id="6" xr3:uid="{2E3F5744-2EB4-4FCF-A674-21E0C94C795F}" uniqueName="6" name="Category" queryTableFieldId="6" dataDxfId="9"/>
    <tableColumn id="7" xr3:uid="{63F7AA50-3514-4AC8-8E88-D08800885E3F}" uniqueName="7" name="Quantity" queryTableFieldId="7"/>
    <tableColumn id="8" xr3:uid="{0AAD4FB0-3261-4EC6-AE02-C37A83A90288}" uniqueName="8" name="Price" queryTableFieldId="8"/>
    <tableColumn id="9" xr3:uid="{D44551AE-0065-4C3A-BCD1-E63B59EA570C}" uniqueName="9" name="Payment_Method" queryTableFieldId="9" dataDxfId="8"/>
    <tableColumn id="10" xr3:uid="{BF343649-2254-46BD-A5A2-143594D60D3D}" uniqueName="10" name="Status" queryTableFieldId="10" dataDxfId="7"/>
    <tableColumn id="11" xr3:uid="{A460B523-7BF4-40CF-9517-DF1DBDC3BC15}" uniqueName="11" name="Total Revenue" queryTableFieldId="11"/>
    <tableColumn id="16" xr3:uid="{1B73B3C4-FDBB-4677-A7A6-1FB4EA65E260}" uniqueName="16" name="Month" queryTableFieldId="16" dataDxfId="6">
      <calculatedColumnFormula>TEXT(D2,"mmm")</calculatedColumnFormula>
    </tableColumn>
    <tableColumn id="13" xr3:uid="{14E8301D-5F7B-4D01-804F-F4E7C346B06B}" uniqueName="13" name="Year" queryTableFieldId="13"/>
    <tableColumn id="14" xr3:uid="{2B67A962-3DEA-497E-A3BC-F2BC3355269F}" uniqueName="14" name="Revenue Bucket" queryTableFieldId="14"/>
    <tableColumn id="15" xr3:uid="{BA278487-341E-4516-AD5F-64E2A3BCCF89}" uniqueName="15" name="Status Group"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7FB086-6DC3-4DB8-8C2A-A96E8A326B5F}" name="Table2" displayName="Table2" ref="A3:O14" totalsRowShown="0">
  <autoFilter ref="A3:O14" xr:uid="{977FB086-6DC3-4DB8-8C2A-A96E8A326B5F}"/>
  <tableColumns count="15">
    <tableColumn id="1" xr3:uid="{9854F6C4-7C60-4EB6-A06B-14D881A2AAA0}" name="ID"/>
    <tableColumn id="2" xr3:uid="{6DA054D5-E581-4FA6-A5D6-6A3B9BAD9FCD}" name="Customer_Name"/>
    <tableColumn id="3" xr3:uid="{6AA3471A-83F9-4BFC-9028-3E890BABA29E}" name="Order_ID"/>
    <tableColumn id="4" xr3:uid="{20D74D2F-ED80-4136-B838-4AEE79908088}" name="Order_Date" dataDxfId="2"/>
    <tableColumn id="5" xr3:uid="{5BB8608D-0EC5-41FC-8BD1-49221E7925E5}" name="Product"/>
    <tableColumn id="6" xr3:uid="{5E330F1E-B15D-4401-A2F4-4A3FCAA6C47F}" name="Category"/>
    <tableColumn id="7" xr3:uid="{1FBAEFBC-9BDB-4E27-A8AF-71178A0F4762}" name="Quantity"/>
    <tableColumn id="8" xr3:uid="{9EE47370-AF6D-435F-9B22-F670DC70D9C9}" name="Price"/>
    <tableColumn id="9" xr3:uid="{1292CABF-4CEB-437D-ADEF-D1E42C632315}" name="Payment_Method"/>
    <tableColumn id="10" xr3:uid="{B7958A59-AE52-43A4-81EB-EB7A1167DC14}" name="Status"/>
    <tableColumn id="11" xr3:uid="{789DC841-E772-4DF5-8DAB-56B704D58E6D}" name="Total Revenue"/>
    <tableColumn id="12" xr3:uid="{4D212958-CDD5-48F4-A756-A9C63D9ACA24}" name="Month"/>
    <tableColumn id="13" xr3:uid="{7534C7B7-08E3-4AE2-B834-54B275F33737}" name="Year"/>
    <tableColumn id="14" xr3:uid="{F6E77721-52BE-4424-9C7A-8B3605D419E9}" name="Revenue Bucket"/>
    <tableColumn id="15" xr3:uid="{E6E75D52-EEC4-4705-BB9E-95D44039DD63}" name="Status Grou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DF0C5-63D3-48AA-82F9-BA62A0BFD5B2}">
  <dimension ref="A1:O100"/>
  <sheetViews>
    <sheetView zoomScaleNormal="100" workbookViewId="0">
      <selection activeCell="M1" sqref="M1"/>
    </sheetView>
  </sheetViews>
  <sheetFormatPr defaultRowHeight="14.4" x14ac:dyDescent="0.3"/>
  <cols>
    <col min="1" max="1" width="5" bestFit="1" customWidth="1"/>
    <col min="2" max="2" width="17.44140625" bestFit="1" customWidth="1"/>
    <col min="3" max="3" width="10.77734375" bestFit="1" customWidth="1"/>
    <col min="4" max="4" width="12.88671875" bestFit="1" customWidth="1"/>
    <col min="5" max="5" width="12.21875" bestFit="1" customWidth="1"/>
    <col min="6" max="6" width="10.77734375" bestFit="1" customWidth="1"/>
    <col min="7" max="7" width="10.5546875" bestFit="1" customWidth="1"/>
    <col min="8" max="8" width="8.77734375" bestFit="1" customWidth="1"/>
    <col min="9" max="9" width="18.6640625" bestFit="1" customWidth="1"/>
    <col min="10" max="10" width="9.5546875" bestFit="1" customWidth="1"/>
    <col min="11" max="11" width="15.33203125" bestFit="1" customWidth="1"/>
    <col min="12" max="12" width="9.33203125" customWidth="1"/>
    <col min="13" max="13" width="9.88671875" customWidth="1"/>
    <col min="14" max="14" width="16.88671875" bestFit="1" customWidth="1"/>
    <col min="15" max="15" width="14.109375" bestFit="1" customWidth="1"/>
  </cols>
  <sheetData>
    <row r="1" spans="1:15" x14ac:dyDescent="0.3">
      <c r="A1" t="s">
        <v>0</v>
      </c>
      <c r="B1" t="s">
        <v>1</v>
      </c>
      <c r="C1" t="s">
        <v>2</v>
      </c>
      <c r="D1" t="s">
        <v>3</v>
      </c>
      <c r="E1" t="s">
        <v>4</v>
      </c>
      <c r="F1" t="s">
        <v>5</v>
      </c>
      <c r="G1" t="s">
        <v>6</v>
      </c>
      <c r="H1" t="s">
        <v>7</v>
      </c>
      <c r="I1" t="s">
        <v>8</v>
      </c>
      <c r="J1" t="s">
        <v>9</v>
      </c>
      <c r="K1" t="s">
        <v>10</v>
      </c>
      <c r="L1" t="s">
        <v>361</v>
      </c>
      <c r="M1" t="s">
        <v>11</v>
      </c>
      <c r="N1" t="s">
        <v>12</v>
      </c>
      <c r="O1" t="s">
        <v>355</v>
      </c>
    </row>
    <row r="2" spans="1:15" x14ac:dyDescent="0.3">
      <c r="A2" t="s">
        <v>13</v>
      </c>
      <c r="B2" t="s">
        <v>14</v>
      </c>
      <c r="C2" t="s">
        <v>15</v>
      </c>
      <c r="D2" s="1">
        <v>45618</v>
      </c>
      <c r="E2" t="s">
        <v>16</v>
      </c>
      <c r="F2" t="s">
        <v>17</v>
      </c>
      <c r="G2">
        <v>3</v>
      </c>
      <c r="H2">
        <v>38</v>
      </c>
      <c r="I2" t="s">
        <v>18</v>
      </c>
      <c r="J2" t="s">
        <v>19</v>
      </c>
      <c r="K2">
        <v>114</v>
      </c>
      <c r="L2" t="str">
        <f t="shared" ref="L2:L33" si="0">TEXT(D2,"mmm")</f>
        <v>Nov</v>
      </c>
      <c r="M2">
        <v>2024</v>
      </c>
      <c r="N2" t="s">
        <v>20</v>
      </c>
      <c r="O2" t="s">
        <v>21</v>
      </c>
    </row>
    <row r="3" spans="1:15" x14ac:dyDescent="0.3">
      <c r="A3" t="s">
        <v>22</v>
      </c>
      <c r="B3" t="s">
        <v>23</v>
      </c>
      <c r="C3" t="s">
        <v>24</v>
      </c>
      <c r="D3" s="1">
        <v>45843</v>
      </c>
      <c r="E3" t="s">
        <v>25</v>
      </c>
      <c r="F3" t="s">
        <v>26</v>
      </c>
      <c r="G3">
        <v>2</v>
      </c>
      <c r="H3" t="s">
        <v>29</v>
      </c>
      <c r="I3" t="s">
        <v>27</v>
      </c>
      <c r="J3" t="s">
        <v>28</v>
      </c>
      <c r="L3" t="str">
        <f>TEXT(D3,"mmm")</f>
        <v>Jul</v>
      </c>
      <c r="M3">
        <v>2025</v>
      </c>
      <c r="N3" t="s">
        <v>29</v>
      </c>
      <c r="O3" t="s">
        <v>21</v>
      </c>
    </row>
    <row r="4" spans="1:15" x14ac:dyDescent="0.3">
      <c r="A4" t="s">
        <v>30</v>
      </c>
      <c r="B4" t="s">
        <v>31</v>
      </c>
      <c r="C4" t="s">
        <v>32</v>
      </c>
      <c r="D4" s="1">
        <v>45649</v>
      </c>
      <c r="E4" t="s">
        <v>33</v>
      </c>
      <c r="F4" t="s">
        <v>34</v>
      </c>
      <c r="G4" t="s">
        <v>29</v>
      </c>
      <c r="H4">
        <v>389.05</v>
      </c>
      <c r="I4" t="s">
        <v>27</v>
      </c>
      <c r="J4" t="s">
        <v>35</v>
      </c>
      <c r="K4">
        <v>389.05</v>
      </c>
      <c r="L4" t="str">
        <f t="shared" si="0"/>
        <v>Dec</v>
      </c>
      <c r="M4">
        <v>2024</v>
      </c>
      <c r="N4" t="s">
        <v>20</v>
      </c>
      <c r="O4" t="s">
        <v>36</v>
      </c>
    </row>
    <row r="5" spans="1:15" x14ac:dyDescent="0.3">
      <c r="A5" t="s">
        <v>37</v>
      </c>
      <c r="B5" t="s">
        <v>38</v>
      </c>
      <c r="C5" t="s">
        <v>39</v>
      </c>
      <c r="D5" s="1">
        <v>45735</v>
      </c>
      <c r="E5" t="s">
        <v>40</v>
      </c>
      <c r="F5" t="s">
        <v>41</v>
      </c>
      <c r="G5">
        <v>5</v>
      </c>
      <c r="H5">
        <v>233.92</v>
      </c>
      <c r="I5" t="s">
        <v>27</v>
      </c>
      <c r="J5" t="s">
        <v>28</v>
      </c>
      <c r="K5">
        <v>1169.5999999999999</v>
      </c>
      <c r="L5" t="str">
        <f t="shared" si="0"/>
        <v>Mar</v>
      </c>
      <c r="M5">
        <v>2025</v>
      </c>
      <c r="N5" t="s">
        <v>42</v>
      </c>
      <c r="O5" t="s">
        <v>21</v>
      </c>
    </row>
    <row r="6" spans="1:15" x14ac:dyDescent="0.3">
      <c r="A6" t="s">
        <v>43</v>
      </c>
      <c r="B6" t="s">
        <v>44</v>
      </c>
      <c r="C6" t="s">
        <v>45</v>
      </c>
      <c r="D6" s="1">
        <v>45950</v>
      </c>
      <c r="E6" t="s">
        <v>46</v>
      </c>
      <c r="F6" t="s">
        <v>41</v>
      </c>
      <c r="G6">
        <v>1</v>
      </c>
      <c r="H6">
        <v>552.51</v>
      </c>
      <c r="I6" t="s">
        <v>18</v>
      </c>
      <c r="J6" t="s">
        <v>28</v>
      </c>
      <c r="K6">
        <v>552.51</v>
      </c>
      <c r="L6" t="str">
        <f t="shared" si="0"/>
        <v>Oct</v>
      </c>
      <c r="M6">
        <v>2025</v>
      </c>
      <c r="N6" t="s">
        <v>42</v>
      </c>
      <c r="O6" t="s">
        <v>21</v>
      </c>
    </row>
    <row r="7" spans="1:15" x14ac:dyDescent="0.3">
      <c r="A7" t="s">
        <v>47</v>
      </c>
      <c r="B7" t="s">
        <v>48</v>
      </c>
      <c r="C7" t="s">
        <v>49</v>
      </c>
      <c r="D7" s="1">
        <v>45616</v>
      </c>
      <c r="E7" t="s">
        <v>33</v>
      </c>
      <c r="F7" t="s">
        <v>34</v>
      </c>
      <c r="G7">
        <v>3</v>
      </c>
      <c r="H7">
        <v>122.06</v>
      </c>
      <c r="I7" t="s">
        <v>18</v>
      </c>
      <c r="J7" t="s">
        <v>50</v>
      </c>
      <c r="K7">
        <v>366.18</v>
      </c>
      <c r="L7" t="str">
        <f t="shared" si="0"/>
        <v>Nov</v>
      </c>
      <c r="M7">
        <v>2024</v>
      </c>
      <c r="N7" t="s">
        <v>20</v>
      </c>
      <c r="O7" t="s">
        <v>51</v>
      </c>
    </row>
    <row r="8" spans="1:15" x14ac:dyDescent="0.3">
      <c r="A8" t="s">
        <v>52</v>
      </c>
      <c r="B8" t="s">
        <v>53</v>
      </c>
      <c r="C8" t="s">
        <v>54</v>
      </c>
      <c r="D8" s="1">
        <v>45690</v>
      </c>
      <c r="E8" t="s">
        <v>16</v>
      </c>
      <c r="F8" t="s">
        <v>17</v>
      </c>
      <c r="G8" t="s">
        <v>29</v>
      </c>
      <c r="H8">
        <v>978.63</v>
      </c>
      <c r="I8" t="s">
        <v>55</v>
      </c>
      <c r="J8" t="s">
        <v>28</v>
      </c>
      <c r="L8" t="str">
        <f t="shared" si="0"/>
        <v>Feb</v>
      </c>
      <c r="M8">
        <v>2025</v>
      </c>
      <c r="N8" t="s">
        <v>29</v>
      </c>
      <c r="O8" t="s">
        <v>21</v>
      </c>
    </row>
    <row r="9" spans="1:15" x14ac:dyDescent="0.3">
      <c r="A9" t="s">
        <v>56</v>
      </c>
      <c r="B9" t="s">
        <v>57</v>
      </c>
      <c r="C9" t="s">
        <v>58</v>
      </c>
      <c r="D9" s="1">
        <v>45660</v>
      </c>
      <c r="E9" t="s">
        <v>46</v>
      </c>
      <c r="F9" t="s">
        <v>41</v>
      </c>
      <c r="G9">
        <v>5</v>
      </c>
      <c r="H9">
        <v>587.67999999999995</v>
      </c>
      <c r="I9" t="s">
        <v>27</v>
      </c>
      <c r="J9" t="s">
        <v>59</v>
      </c>
      <c r="K9">
        <v>2938.4</v>
      </c>
      <c r="L9" t="str">
        <f t="shared" si="0"/>
        <v>Jan</v>
      </c>
      <c r="M9">
        <v>2025</v>
      </c>
      <c r="N9" t="s">
        <v>60</v>
      </c>
      <c r="O9" t="s">
        <v>51</v>
      </c>
    </row>
    <row r="10" spans="1:15" x14ac:dyDescent="0.3">
      <c r="A10" t="s">
        <v>61</v>
      </c>
      <c r="B10" t="s">
        <v>62</v>
      </c>
      <c r="C10" t="s">
        <v>63</v>
      </c>
      <c r="D10" s="1">
        <v>45953</v>
      </c>
      <c r="E10" t="s">
        <v>40</v>
      </c>
      <c r="F10" t="s">
        <v>41</v>
      </c>
      <c r="G10">
        <v>1</v>
      </c>
      <c r="H10">
        <v>600.29</v>
      </c>
      <c r="I10" t="s">
        <v>18</v>
      </c>
      <c r="J10" t="s">
        <v>28</v>
      </c>
      <c r="K10">
        <v>600.29</v>
      </c>
      <c r="L10" t="str">
        <f t="shared" si="0"/>
        <v>Oct</v>
      </c>
      <c r="M10">
        <v>2025</v>
      </c>
      <c r="N10" t="s">
        <v>42</v>
      </c>
      <c r="O10" t="s">
        <v>21</v>
      </c>
    </row>
    <row r="11" spans="1:15" x14ac:dyDescent="0.3">
      <c r="A11" t="s">
        <v>64</v>
      </c>
      <c r="B11" t="s">
        <v>65</v>
      </c>
      <c r="C11" t="s">
        <v>66</v>
      </c>
      <c r="D11" s="1">
        <v>45780</v>
      </c>
      <c r="E11" t="s">
        <v>33</v>
      </c>
      <c r="F11" t="s">
        <v>34</v>
      </c>
      <c r="G11">
        <v>5</v>
      </c>
      <c r="H11">
        <v>168.34</v>
      </c>
      <c r="I11" t="s">
        <v>67</v>
      </c>
      <c r="J11" t="s">
        <v>19</v>
      </c>
      <c r="K11">
        <v>841.7</v>
      </c>
      <c r="L11" t="str">
        <f t="shared" si="0"/>
        <v>May</v>
      </c>
      <c r="M11">
        <v>2025</v>
      </c>
      <c r="N11" t="s">
        <v>42</v>
      </c>
      <c r="O11" t="s">
        <v>21</v>
      </c>
    </row>
    <row r="12" spans="1:15" x14ac:dyDescent="0.3">
      <c r="A12" t="s">
        <v>69</v>
      </c>
      <c r="B12" t="s">
        <v>70</v>
      </c>
      <c r="C12" t="s">
        <v>71</v>
      </c>
      <c r="D12" s="1">
        <v>45926</v>
      </c>
      <c r="E12" t="s">
        <v>72</v>
      </c>
      <c r="F12" t="s">
        <v>34</v>
      </c>
      <c r="G12">
        <v>5</v>
      </c>
      <c r="H12">
        <v>400</v>
      </c>
      <c r="I12" t="s">
        <v>18</v>
      </c>
      <c r="J12" t="s">
        <v>50</v>
      </c>
      <c r="K12">
        <v>2000</v>
      </c>
      <c r="L12" t="str">
        <f t="shared" si="0"/>
        <v>Sep</v>
      </c>
      <c r="M12">
        <v>2025</v>
      </c>
      <c r="N12" t="s">
        <v>42</v>
      </c>
      <c r="O12" t="s">
        <v>51</v>
      </c>
    </row>
    <row r="13" spans="1:15" x14ac:dyDescent="0.3">
      <c r="A13" t="s">
        <v>73</v>
      </c>
      <c r="B13" t="s">
        <v>74</v>
      </c>
      <c r="C13" t="s">
        <v>75</v>
      </c>
      <c r="D13" s="1">
        <v>45952</v>
      </c>
      <c r="E13" t="s">
        <v>76</v>
      </c>
      <c r="F13" t="s">
        <v>41</v>
      </c>
      <c r="G13">
        <v>2</v>
      </c>
      <c r="H13">
        <v>865.77</v>
      </c>
      <c r="I13" t="s">
        <v>67</v>
      </c>
      <c r="J13" t="s">
        <v>59</v>
      </c>
      <c r="K13">
        <v>1731.54</v>
      </c>
      <c r="L13" t="str">
        <f t="shared" si="0"/>
        <v>Oct</v>
      </c>
      <c r="M13">
        <v>2025</v>
      </c>
      <c r="N13" t="s">
        <v>42</v>
      </c>
      <c r="O13" t="s">
        <v>51</v>
      </c>
    </row>
    <row r="14" spans="1:15" x14ac:dyDescent="0.3">
      <c r="A14" t="s">
        <v>77</v>
      </c>
      <c r="B14" t="s">
        <v>78</v>
      </c>
      <c r="C14" t="s">
        <v>79</v>
      </c>
      <c r="D14" s="1">
        <v>45718</v>
      </c>
      <c r="E14" t="s">
        <v>80</v>
      </c>
      <c r="F14" t="s">
        <v>81</v>
      </c>
      <c r="G14">
        <v>4</v>
      </c>
      <c r="H14">
        <v>752.13</v>
      </c>
      <c r="I14" t="s">
        <v>55</v>
      </c>
      <c r="J14" t="s">
        <v>35</v>
      </c>
      <c r="K14">
        <v>3008.52</v>
      </c>
      <c r="L14" t="str">
        <f t="shared" si="0"/>
        <v>Mar</v>
      </c>
      <c r="M14">
        <v>2025</v>
      </c>
      <c r="N14" t="s">
        <v>60</v>
      </c>
      <c r="O14" t="s">
        <v>36</v>
      </c>
    </row>
    <row r="15" spans="1:15" x14ac:dyDescent="0.3">
      <c r="A15" t="s">
        <v>82</v>
      </c>
      <c r="B15" t="s">
        <v>83</v>
      </c>
      <c r="C15" t="s">
        <v>84</v>
      </c>
      <c r="D15" s="1">
        <v>45862</v>
      </c>
      <c r="E15" t="s">
        <v>85</v>
      </c>
      <c r="F15" t="s">
        <v>41</v>
      </c>
      <c r="G15">
        <v>1</v>
      </c>
      <c r="H15">
        <v>411.81</v>
      </c>
      <c r="I15" t="s">
        <v>67</v>
      </c>
      <c r="J15" t="s">
        <v>28</v>
      </c>
      <c r="K15">
        <v>411.81</v>
      </c>
      <c r="L15" t="str">
        <f t="shared" si="0"/>
        <v>Jul</v>
      </c>
      <c r="M15">
        <v>2025</v>
      </c>
      <c r="N15" t="s">
        <v>20</v>
      </c>
      <c r="O15" t="s">
        <v>21</v>
      </c>
    </row>
    <row r="16" spans="1:15" x14ac:dyDescent="0.3">
      <c r="A16" t="s">
        <v>86</v>
      </c>
      <c r="B16" t="s">
        <v>87</v>
      </c>
      <c r="C16" t="s">
        <v>88</v>
      </c>
      <c r="D16" s="1">
        <v>44931</v>
      </c>
      <c r="E16" t="s">
        <v>25</v>
      </c>
      <c r="F16" t="s">
        <v>26</v>
      </c>
      <c r="G16">
        <v>2</v>
      </c>
      <c r="H16">
        <v>413.13</v>
      </c>
      <c r="I16" t="s">
        <v>18</v>
      </c>
      <c r="J16" t="s">
        <v>19</v>
      </c>
      <c r="K16">
        <v>826.26</v>
      </c>
      <c r="L16" t="str">
        <f t="shared" si="0"/>
        <v>Jan</v>
      </c>
      <c r="M16">
        <v>2023</v>
      </c>
      <c r="N16" t="s">
        <v>42</v>
      </c>
      <c r="O16" t="s">
        <v>21</v>
      </c>
    </row>
    <row r="17" spans="1:15" x14ac:dyDescent="0.3">
      <c r="A17" t="s">
        <v>89</v>
      </c>
      <c r="B17" t="s">
        <v>90</v>
      </c>
      <c r="C17" t="s">
        <v>91</v>
      </c>
      <c r="D17" s="1">
        <v>45667</v>
      </c>
      <c r="E17" t="s">
        <v>85</v>
      </c>
      <c r="F17" t="s">
        <v>41</v>
      </c>
      <c r="G17">
        <v>2</v>
      </c>
      <c r="H17">
        <v>796.84</v>
      </c>
      <c r="I17" t="s">
        <v>18</v>
      </c>
      <c r="J17" t="s">
        <v>59</v>
      </c>
      <c r="K17">
        <v>1593.68</v>
      </c>
      <c r="L17" t="str">
        <f t="shared" si="0"/>
        <v>Jan</v>
      </c>
      <c r="M17">
        <v>2025</v>
      </c>
      <c r="N17" t="s">
        <v>42</v>
      </c>
      <c r="O17" t="s">
        <v>51</v>
      </c>
    </row>
    <row r="18" spans="1:15" x14ac:dyDescent="0.3">
      <c r="A18" t="s">
        <v>92</v>
      </c>
      <c r="B18" t="s">
        <v>93</v>
      </c>
      <c r="C18" t="s">
        <v>94</v>
      </c>
      <c r="D18" s="1">
        <v>45960</v>
      </c>
      <c r="E18" t="s">
        <v>95</v>
      </c>
      <c r="F18" t="s">
        <v>17</v>
      </c>
      <c r="G18">
        <v>4</v>
      </c>
      <c r="H18" t="s">
        <v>29</v>
      </c>
      <c r="I18" t="s">
        <v>18</v>
      </c>
      <c r="J18" t="s">
        <v>28</v>
      </c>
      <c r="L18" t="str">
        <f t="shared" si="0"/>
        <v>Oct</v>
      </c>
      <c r="M18">
        <v>2025</v>
      </c>
      <c r="N18" t="s">
        <v>29</v>
      </c>
      <c r="O18" t="s">
        <v>21</v>
      </c>
    </row>
    <row r="19" spans="1:15" x14ac:dyDescent="0.3">
      <c r="A19" t="s">
        <v>96</v>
      </c>
      <c r="B19" t="s">
        <v>97</v>
      </c>
      <c r="C19" t="s">
        <v>98</v>
      </c>
      <c r="D19" s="1">
        <v>45700</v>
      </c>
      <c r="E19" t="s">
        <v>16</v>
      </c>
      <c r="F19" t="s">
        <v>17</v>
      </c>
      <c r="G19" t="s">
        <v>29</v>
      </c>
      <c r="H19">
        <v>10000</v>
      </c>
      <c r="I19" t="s">
        <v>18</v>
      </c>
      <c r="J19" t="s">
        <v>28</v>
      </c>
      <c r="L19" t="str">
        <f t="shared" si="0"/>
        <v>Feb</v>
      </c>
      <c r="M19">
        <v>2025</v>
      </c>
      <c r="N19" t="s">
        <v>29</v>
      </c>
      <c r="O19" t="s">
        <v>21</v>
      </c>
    </row>
    <row r="20" spans="1:15" x14ac:dyDescent="0.3">
      <c r="A20" t="s">
        <v>99</v>
      </c>
      <c r="B20" t="s">
        <v>100</v>
      </c>
      <c r="C20" t="s">
        <v>101</v>
      </c>
      <c r="D20" s="1">
        <v>45808</v>
      </c>
      <c r="E20" t="s">
        <v>40</v>
      </c>
      <c r="F20" t="s">
        <v>41</v>
      </c>
      <c r="G20">
        <v>5</v>
      </c>
      <c r="H20">
        <v>247.82</v>
      </c>
      <c r="I20" t="s">
        <v>27</v>
      </c>
      <c r="J20" t="s">
        <v>28</v>
      </c>
      <c r="K20">
        <v>1239.0999999999999</v>
      </c>
      <c r="L20" t="str">
        <f t="shared" si="0"/>
        <v>May</v>
      </c>
      <c r="M20">
        <v>2025</v>
      </c>
      <c r="N20" t="s">
        <v>42</v>
      </c>
      <c r="O20" t="s">
        <v>21</v>
      </c>
    </row>
    <row r="21" spans="1:15" x14ac:dyDescent="0.3">
      <c r="A21" t="s">
        <v>102</v>
      </c>
      <c r="B21" t="s">
        <v>103</v>
      </c>
      <c r="C21" t="s">
        <v>104</v>
      </c>
      <c r="D21" s="1">
        <v>45645</v>
      </c>
      <c r="E21" t="s">
        <v>72</v>
      </c>
      <c r="F21" t="s">
        <v>34</v>
      </c>
      <c r="G21">
        <v>4</v>
      </c>
      <c r="H21">
        <v>438.19</v>
      </c>
      <c r="I21" t="s">
        <v>18</v>
      </c>
      <c r="J21" t="s">
        <v>28</v>
      </c>
      <c r="K21">
        <v>1752.76</v>
      </c>
      <c r="L21" t="str">
        <f t="shared" si="0"/>
        <v>Dec</v>
      </c>
      <c r="M21">
        <v>2024</v>
      </c>
      <c r="N21" t="s">
        <v>42</v>
      </c>
      <c r="O21" t="s">
        <v>21</v>
      </c>
    </row>
    <row r="22" spans="1:15" x14ac:dyDescent="0.3">
      <c r="A22" t="s">
        <v>105</v>
      </c>
      <c r="B22" t="s">
        <v>106</v>
      </c>
      <c r="C22" t="s">
        <v>107</v>
      </c>
      <c r="D22" s="1">
        <v>45821</v>
      </c>
      <c r="E22" t="s">
        <v>108</v>
      </c>
      <c r="F22" t="s">
        <v>34</v>
      </c>
      <c r="G22">
        <v>5</v>
      </c>
      <c r="H22" t="s">
        <v>29</v>
      </c>
      <c r="I22" t="s">
        <v>67</v>
      </c>
      <c r="J22" t="s">
        <v>50</v>
      </c>
      <c r="L22" t="str">
        <f t="shared" si="0"/>
        <v>Jun</v>
      </c>
      <c r="M22">
        <v>2025</v>
      </c>
      <c r="N22" t="s">
        <v>29</v>
      </c>
      <c r="O22" t="s">
        <v>51</v>
      </c>
    </row>
    <row r="23" spans="1:15" x14ac:dyDescent="0.3">
      <c r="A23" t="s">
        <v>109</v>
      </c>
      <c r="B23" t="s">
        <v>110</v>
      </c>
      <c r="C23" t="s">
        <v>111</v>
      </c>
      <c r="D23" s="1">
        <v>45941</v>
      </c>
      <c r="E23" t="s">
        <v>72</v>
      </c>
      <c r="F23" t="s">
        <v>34</v>
      </c>
      <c r="G23">
        <v>4</v>
      </c>
      <c r="H23">
        <v>523.01</v>
      </c>
      <c r="I23" t="s">
        <v>67</v>
      </c>
      <c r="J23" t="s">
        <v>35</v>
      </c>
      <c r="K23">
        <v>2092.04</v>
      </c>
      <c r="L23" t="str">
        <f t="shared" si="0"/>
        <v>Oct</v>
      </c>
      <c r="M23">
        <v>2025</v>
      </c>
      <c r="N23" t="s">
        <v>60</v>
      </c>
      <c r="O23" t="s">
        <v>36</v>
      </c>
    </row>
    <row r="24" spans="1:15" x14ac:dyDescent="0.3">
      <c r="A24" t="s">
        <v>112</v>
      </c>
      <c r="B24" t="s">
        <v>113</v>
      </c>
      <c r="C24" t="s">
        <v>114</v>
      </c>
      <c r="D24" s="1">
        <v>45793</v>
      </c>
      <c r="E24" t="s">
        <v>95</v>
      </c>
      <c r="F24" t="s">
        <v>17</v>
      </c>
      <c r="G24">
        <v>2</v>
      </c>
      <c r="H24">
        <v>556.92999999999995</v>
      </c>
      <c r="I24" t="s">
        <v>27</v>
      </c>
      <c r="J24" t="s">
        <v>19</v>
      </c>
      <c r="K24">
        <v>1113.8599999999999</v>
      </c>
      <c r="L24" t="str">
        <f t="shared" si="0"/>
        <v>May</v>
      </c>
      <c r="M24">
        <v>2025</v>
      </c>
      <c r="N24" t="s">
        <v>42</v>
      </c>
      <c r="O24" t="s">
        <v>21</v>
      </c>
    </row>
    <row r="25" spans="1:15" x14ac:dyDescent="0.3">
      <c r="A25" t="s">
        <v>115</v>
      </c>
      <c r="B25" t="s">
        <v>116</v>
      </c>
      <c r="C25" t="s">
        <v>117</v>
      </c>
      <c r="D25" s="1">
        <v>45936</v>
      </c>
      <c r="E25" t="s">
        <v>118</v>
      </c>
      <c r="F25" t="s">
        <v>17</v>
      </c>
      <c r="G25">
        <v>3</v>
      </c>
      <c r="H25">
        <v>615.91</v>
      </c>
      <c r="I25" t="s">
        <v>18</v>
      </c>
      <c r="J25" t="s">
        <v>50</v>
      </c>
      <c r="K25">
        <v>1847.73</v>
      </c>
      <c r="L25" t="str">
        <f t="shared" si="0"/>
        <v>Oct</v>
      </c>
      <c r="M25">
        <v>2025</v>
      </c>
      <c r="N25" t="s">
        <v>42</v>
      </c>
      <c r="O25" t="s">
        <v>51</v>
      </c>
    </row>
    <row r="26" spans="1:15" x14ac:dyDescent="0.3">
      <c r="A26" t="s">
        <v>119</v>
      </c>
      <c r="B26" t="s">
        <v>120</v>
      </c>
      <c r="C26" t="s">
        <v>121</v>
      </c>
      <c r="D26" s="1">
        <v>45808</v>
      </c>
      <c r="E26" t="s">
        <v>76</v>
      </c>
      <c r="F26" t="s">
        <v>41</v>
      </c>
      <c r="G26">
        <v>5</v>
      </c>
      <c r="H26" t="s">
        <v>29</v>
      </c>
      <c r="I26" t="s">
        <v>27</v>
      </c>
      <c r="J26" t="s">
        <v>50</v>
      </c>
      <c r="L26" t="str">
        <f t="shared" si="0"/>
        <v>May</v>
      </c>
      <c r="M26">
        <v>2025</v>
      </c>
      <c r="N26" t="s">
        <v>29</v>
      </c>
      <c r="O26" t="s">
        <v>51</v>
      </c>
    </row>
    <row r="27" spans="1:15" x14ac:dyDescent="0.3">
      <c r="A27" t="s">
        <v>122</v>
      </c>
      <c r="B27" t="s">
        <v>123</v>
      </c>
      <c r="C27" t="s">
        <v>124</v>
      </c>
      <c r="D27" s="1">
        <v>45697</v>
      </c>
      <c r="E27" t="s">
        <v>76</v>
      </c>
      <c r="F27" t="s">
        <v>41</v>
      </c>
      <c r="G27">
        <v>4</v>
      </c>
      <c r="H27">
        <v>765.69</v>
      </c>
      <c r="I27" t="s">
        <v>27</v>
      </c>
      <c r="J27" t="s">
        <v>19</v>
      </c>
      <c r="K27">
        <v>3062.76</v>
      </c>
      <c r="L27" t="str">
        <f t="shared" si="0"/>
        <v>Feb</v>
      </c>
      <c r="M27">
        <v>2025</v>
      </c>
      <c r="N27" t="s">
        <v>60</v>
      </c>
      <c r="O27" t="s">
        <v>21</v>
      </c>
    </row>
    <row r="28" spans="1:15" x14ac:dyDescent="0.3">
      <c r="A28" t="s">
        <v>125</v>
      </c>
      <c r="B28" t="s">
        <v>126</v>
      </c>
      <c r="C28" t="s">
        <v>127</v>
      </c>
      <c r="D28" s="1">
        <v>45795</v>
      </c>
      <c r="E28" t="s">
        <v>80</v>
      </c>
      <c r="F28" t="s">
        <v>81</v>
      </c>
      <c r="G28">
        <v>4</v>
      </c>
      <c r="H28">
        <v>836.8</v>
      </c>
      <c r="I28" t="s">
        <v>55</v>
      </c>
      <c r="J28" t="s">
        <v>50</v>
      </c>
      <c r="K28">
        <v>3347.2</v>
      </c>
      <c r="L28" t="str">
        <f t="shared" si="0"/>
        <v>May</v>
      </c>
      <c r="M28">
        <v>2025</v>
      </c>
      <c r="N28" t="s">
        <v>60</v>
      </c>
      <c r="O28" t="s">
        <v>51</v>
      </c>
    </row>
    <row r="29" spans="1:15" x14ac:dyDescent="0.3">
      <c r="A29" t="s">
        <v>128</v>
      </c>
      <c r="B29" t="s">
        <v>129</v>
      </c>
      <c r="C29" t="s">
        <v>130</v>
      </c>
      <c r="D29" s="1">
        <v>45789</v>
      </c>
      <c r="E29" t="s">
        <v>16</v>
      </c>
      <c r="F29" t="s">
        <v>17</v>
      </c>
      <c r="G29">
        <v>5</v>
      </c>
      <c r="H29">
        <v>336.02</v>
      </c>
      <c r="I29" t="s">
        <v>55</v>
      </c>
      <c r="J29" t="s">
        <v>59</v>
      </c>
      <c r="K29">
        <v>1680.1</v>
      </c>
      <c r="L29" t="str">
        <f t="shared" si="0"/>
        <v>May</v>
      </c>
      <c r="M29">
        <v>2025</v>
      </c>
      <c r="N29" t="s">
        <v>42</v>
      </c>
      <c r="O29" t="s">
        <v>51</v>
      </c>
    </row>
    <row r="30" spans="1:15" x14ac:dyDescent="0.3">
      <c r="A30" t="s">
        <v>131</v>
      </c>
      <c r="B30" t="s">
        <v>132</v>
      </c>
      <c r="C30" t="s">
        <v>133</v>
      </c>
      <c r="D30" s="1">
        <v>45606</v>
      </c>
      <c r="E30" t="s">
        <v>134</v>
      </c>
      <c r="F30" t="s">
        <v>17</v>
      </c>
      <c r="G30">
        <v>3</v>
      </c>
      <c r="H30">
        <v>898.69</v>
      </c>
      <c r="I30" t="s">
        <v>55</v>
      </c>
      <c r="J30" t="s">
        <v>35</v>
      </c>
      <c r="K30">
        <v>2696.07</v>
      </c>
      <c r="L30" t="str">
        <f t="shared" si="0"/>
        <v>Nov</v>
      </c>
      <c r="M30">
        <v>2024</v>
      </c>
      <c r="N30" t="s">
        <v>60</v>
      </c>
      <c r="O30" t="s">
        <v>36</v>
      </c>
    </row>
    <row r="31" spans="1:15" x14ac:dyDescent="0.3">
      <c r="A31" t="s">
        <v>135</v>
      </c>
      <c r="B31" t="s">
        <v>136</v>
      </c>
      <c r="C31" t="s">
        <v>137</v>
      </c>
      <c r="D31" s="1">
        <v>45830</v>
      </c>
      <c r="E31" t="s">
        <v>40</v>
      </c>
      <c r="F31" t="s">
        <v>41</v>
      </c>
      <c r="G31">
        <v>4</v>
      </c>
      <c r="H31">
        <v>736.71</v>
      </c>
      <c r="I31" t="s">
        <v>55</v>
      </c>
      <c r="J31" t="s">
        <v>59</v>
      </c>
      <c r="K31">
        <v>2946.84</v>
      </c>
      <c r="L31" t="str">
        <f t="shared" si="0"/>
        <v>Jun</v>
      </c>
      <c r="M31">
        <v>2025</v>
      </c>
      <c r="N31" t="s">
        <v>60</v>
      </c>
      <c r="O31" t="s">
        <v>51</v>
      </c>
    </row>
    <row r="32" spans="1:15" x14ac:dyDescent="0.3">
      <c r="A32" t="s">
        <v>138</v>
      </c>
      <c r="B32" t="s">
        <v>139</v>
      </c>
      <c r="C32" t="s">
        <v>140</v>
      </c>
      <c r="D32" s="1">
        <v>45884</v>
      </c>
      <c r="E32" t="s">
        <v>33</v>
      </c>
      <c r="F32" t="s">
        <v>34</v>
      </c>
      <c r="G32">
        <v>2</v>
      </c>
      <c r="H32" t="s">
        <v>29</v>
      </c>
      <c r="I32" t="s">
        <v>55</v>
      </c>
      <c r="J32" t="s">
        <v>28</v>
      </c>
      <c r="L32" t="str">
        <f t="shared" si="0"/>
        <v>Aug</v>
      </c>
      <c r="M32">
        <v>2025</v>
      </c>
      <c r="N32" t="s">
        <v>29</v>
      </c>
      <c r="O32" t="s">
        <v>21</v>
      </c>
    </row>
    <row r="33" spans="1:15" x14ac:dyDescent="0.3">
      <c r="A33" t="s">
        <v>141</v>
      </c>
      <c r="B33" t="s">
        <v>142</v>
      </c>
      <c r="C33" t="s">
        <v>143</v>
      </c>
      <c r="D33" s="1">
        <v>45819</v>
      </c>
      <c r="E33" t="s">
        <v>134</v>
      </c>
      <c r="F33" t="s">
        <v>17</v>
      </c>
      <c r="G33">
        <v>5</v>
      </c>
      <c r="H33">
        <v>616.63</v>
      </c>
      <c r="I33" t="s">
        <v>27</v>
      </c>
      <c r="J33" t="s">
        <v>19</v>
      </c>
      <c r="K33">
        <v>3083.15</v>
      </c>
      <c r="L33" t="str">
        <f t="shared" si="0"/>
        <v>Jun</v>
      </c>
      <c r="M33">
        <v>2025</v>
      </c>
      <c r="N33" t="s">
        <v>60</v>
      </c>
      <c r="O33" t="s">
        <v>21</v>
      </c>
    </row>
    <row r="34" spans="1:15" x14ac:dyDescent="0.3">
      <c r="A34" t="s">
        <v>144</v>
      </c>
      <c r="B34" t="s">
        <v>145</v>
      </c>
      <c r="C34" t="s">
        <v>146</v>
      </c>
      <c r="D34" s="1">
        <v>45749</v>
      </c>
      <c r="E34" t="s">
        <v>108</v>
      </c>
      <c r="F34" t="s">
        <v>34</v>
      </c>
      <c r="G34">
        <v>1</v>
      </c>
      <c r="H34">
        <v>266.7</v>
      </c>
      <c r="I34" t="s">
        <v>27</v>
      </c>
      <c r="J34" t="s">
        <v>35</v>
      </c>
      <c r="K34">
        <v>266.7</v>
      </c>
      <c r="L34" t="str">
        <f t="shared" ref="L34:L65" si="1">TEXT(D34,"mmm")</f>
        <v>Apr</v>
      </c>
      <c r="M34">
        <v>2025</v>
      </c>
      <c r="N34" t="s">
        <v>20</v>
      </c>
      <c r="O34" t="s">
        <v>36</v>
      </c>
    </row>
    <row r="35" spans="1:15" x14ac:dyDescent="0.3">
      <c r="A35" t="s">
        <v>147</v>
      </c>
      <c r="B35" t="s">
        <v>148</v>
      </c>
      <c r="C35" t="s">
        <v>149</v>
      </c>
      <c r="D35" s="1">
        <v>45631</v>
      </c>
      <c r="E35" t="s">
        <v>46</v>
      </c>
      <c r="F35" t="s">
        <v>41</v>
      </c>
      <c r="G35">
        <v>5</v>
      </c>
      <c r="H35">
        <v>343.24</v>
      </c>
      <c r="I35" t="s">
        <v>67</v>
      </c>
      <c r="J35" t="s">
        <v>19</v>
      </c>
      <c r="K35">
        <v>1716.2</v>
      </c>
      <c r="L35" t="str">
        <f t="shared" si="1"/>
        <v>Dec</v>
      </c>
      <c r="M35">
        <v>2024</v>
      </c>
      <c r="N35" t="s">
        <v>42</v>
      </c>
      <c r="O35" t="s">
        <v>21</v>
      </c>
    </row>
    <row r="36" spans="1:15" x14ac:dyDescent="0.3">
      <c r="A36" t="s">
        <v>150</v>
      </c>
      <c r="B36" t="s">
        <v>151</v>
      </c>
      <c r="C36" t="s">
        <v>152</v>
      </c>
      <c r="D36" s="1">
        <v>45934</v>
      </c>
      <c r="E36" t="s">
        <v>153</v>
      </c>
      <c r="F36" t="s">
        <v>81</v>
      </c>
      <c r="G36" t="s">
        <v>29</v>
      </c>
      <c r="H36">
        <v>591.53</v>
      </c>
      <c r="I36" t="s">
        <v>27</v>
      </c>
      <c r="J36" t="s">
        <v>19</v>
      </c>
      <c r="L36" t="str">
        <f t="shared" si="1"/>
        <v>Oct</v>
      </c>
      <c r="M36">
        <v>2025</v>
      </c>
      <c r="N36" t="s">
        <v>29</v>
      </c>
      <c r="O36" t="s">
        <v>21</v>
      </c>
    </row>
    <row r="37" spans="1:15" x14ac:dyDescent="0.3">
      <c r="A37" t="s">
        <v>154</v>
      </c>
      <c r="B37" t="s">
        <v>155</v>
      </c>
      <c r="C37" t="s">
        <v>156</v>
      </c>
      <c r="D37" s="1">
        <v>45697</v>
      </c>
      <c r="E37" t="s">
        <v>157</v>
      </c>
      <c r="F37" t="s">
        <v>26</v>
      </c>
      <c r="G37">
        <v>4</v>
      </c>
      <c r="H37">
        <v>446.19</v>
      </c>
      <c r="I37" t="s">
        <v>18</v>
      </c>
      <c r="J37" t="s">
        <v>50</v>
      </c>
      <c r="K37">
        <v>1784.76</v>
      </c>
      <c r="L37" t="str">
        <f t="shared" si="1"/>
        <v>Feb</v>
      </c>
      <c r="M37">
        <v>2025</v>
      </c>
      <c r="N37" t="s">
        <v>42</v>
      </c>
      <c r="O37" t="s">
        <v>51</v>
      </c>
    </row>
    <row r="38" spans="1:15" x14ac:dyDescent="0.3">
      <c r="A38" t="s">
        <v>158</v>
      </c>
      <c r="B38" t="s">
        <v>159</v>
      </c>
      <c r="C38" t="s">
        <v>160</v>
      </c>
      <c r="D38" s="1">
        <v>45820</v>
      </c>
      <c r="E38" t="s">
        <v>161</v>
      </c>
      <c r="F38" t="s">
        <v>26</v>
      </c>
      <c r="G38">
        <v>1</v>
      </c>
      <c r="H38">
        <v>696.71</v>
      </c>
      <c r="I38" t="s">
        <v>67</v>
      </c>
      <c r="J38" t="s">
        <v>35</v>
      </c>
      <c r="K38">
        <v>696.71</v>
      </c>
      <c r="L38" t="str">
        <f t="shared" si="1"/>
        <v>Jun</v>
      </c>
      <c r="M38">
        <v>2025</v>
      </c>
      <c r="N38" t="s">
        <v>42</v>
      </c>
      <c r="O38" t="s">
        <v>36</v>
      </c>
    </row>
    <row r="39" spans="1:15" x14ac:dyDescent="0.3">
      <c r="A39" t="s">
        <v>162</v>
      </c>
      <c r="B39" t="s">
        <v>163</v>
      </c>
      <c r="C39" t="s">
        <v>164</v>
      </c>
      <c r="D39" s="1">
        <v>45711</v>
      </c>
      <c r="E39" t="s">
        <v>118</v>
      </c>
      <c r="F39" t="s">
        <v>17</v>
      </c>
      <c r="G39">
        <v>3</v>
      </c>
      <c r="H39" t="s">
        <v>29</v>
      </c>
      <c r="I39" t="s">
        <v>18</v>
      </c>
      <c r="J39" t="s">
        <v>35</v>
      </c>
      <c r="L39" t="str">
        <f t="shared" si="1"/>
        <v>Feb</v>
      </c>
      <c r="M39">
        <v>2025</v>
      </c>
      <c r="N39" t="s">
        <v>29</v>
      </c>
      <c r="O39" t="s">
        <v>36</v>
      </c>
    </row>
    <row r="40" spans="1:15" x14ac:dyDescent="0.3">
      <c r="A40" t="s">
        <v>165</v>
      </c>
      <c r="B40" t="s">
        <v>166</v>
      </c>
      <c r="C40" t="s">
        <v>167</v>
      </c>
      <c r="D40" s="1">
        <v>45878</v>
      </c>
      <c r="E40" t="s">
        <v>134</v>
      </c>
      <c r="F40" t="s">
        <v>17</v>
      </c>
      <c r="G40">
        <v>1</v>
      </c>
      <c r="H40">
        <v>531.05999999999995</v>
      </c>
      <c r="I40" t="s">
        <v>27</v>
      </c>
      <c r="J40" t="s">
        <v>28</v>
      </c>
      <c r="K40">
        <v>531.05999999999995</v>
      </c>
      <c r="L40" t="str">
        <f t="shared" si="1"/>
        <v>Aug</v>
      </c>
      <c r="M40">
        <v>2025</v>
      </c>
      <c r="N40" t="s">
        <v>42</v>
      </c>
      <c r="O40" t="s">
        <v>21</v>
      </c>
    </row>
    <row r="41" spans="1:15" x14ac:dyDescent="0.3">
      <c r="A41" t="s">
        <v>168</v>
      </c>
      <c r="B41" t="s">
        <v>169</v>
      </c>
      <c r="C41" t="s">
        <v>170</v>
      </c>
      <c r="D41" s="1">
        <v>45697</v>
      </c>
      <c r="E41" t="s">
        <v>25</v>
      </c>
      <c r="F41" t="s">
        <v>26</v>
      </c>
      <c r="G41">
        <v>2</v>
      </c>
      <c r="H41">
        <v>681.38</v>
      </c>
      <c r="I41" t="s">
        <v>67</v>
      </c>
      <c r="J41" t="s">
        <v>50</v>
      </c>
      <c r="K41">
        <v>1362.76</v>
      </c>
      <c r="L41" t="str">
        <f t="shared" si="1"/>
        <v>Feb</v>
      </c>
      <c r="M41">
        <v>2025</v>
      </c>
      <c r="N41" t="s">
        <v>42</v>
      </c>
      <c r="O41" t="s">
        <v>51</v>
      </c>
    </row>
    <row r="42" spans="1:15" x14ac:dyDescent="0.3">
      <c r="A42" t="s">
        <v>171</v>
      </c>
      <c r="B42" t="s">
        <v>172</v>
      </c>
      <c r="C42" t="s">
        <v>173</v>
      </c>
      <c r="D42" s="1">
        <v>45714</v>
      </c>
      <c r="E42" t="s">
        <v>85</v>
      </c>
      <c r="F42" t="s">
        <v>41</v>
      </c>
      <c r="G42">
        <v>4</v>
      </c>
      <c r="H42">
        <v>588.98</v>
      </c>
      <c r="I42" t="s">
        <v>67</v>
      </c>
      <c r="J42" t="s">
        <v>59</v>
      </c>
      <c r="K42">
        <v>2355.92</v>
      </c>
      <c r="L42" t="str">
        <f t="shared" si="1"/>
        <v>Feb</v>
      </c>
      <c r="M42">
        <v>2025</v>
      </c>
      <c r="N42" t="s">
        <v>60</v>
      </c>
      <c r="O42" t="s">
        <v>51</v>
      </c>
    </row>
    <row r="43" spans="1:15" x14ac:dyDescent="0.3">
      <c r="A43" t="s">
        <v>174</v>
      </c>
      <c r="B43" t="s">
        <v>175</v>
      </c>
      <c r="C43" t="s">
        <v>176</v>
      </c>
      <c r="D43" s="1">
        <v>45701</v>
      </c>
      <c r="E43" t="s">
        <v>85</v>
      </c>
      <c r="F43" t="s">
        <v>41</v>
      </c>
      <c r="G43">
        <v>3</v>
      </c>
      <c r="H43">
        <v>546.04</v>
      </c>
      <c r="I43" t="s">
        <v>18</v>
      </c>
      <c r="J43" t="s">
        <v>59</v>
      </c>
      <c r="K43">
        <v>1638.12</v>
      </c>
      <c r="L43" t="str">
        <f t="shared" si="1"/>
        <v>Feb</v>
      </c>
      <c r="M43">
        <v>2025</v>
      </c>
      <c r="N43" t="s">
        <v>42</v>
      </c>
      <c r="O43" t="s">
        <v>51</v>
      </c>
    </row>
    <row r="44" spans="1:15" x14ac:dyDescent="0.3">
      <c r="A44" t="s">
        <v>177</v>
      </c>
      <c r="B44" t="s">
        <v>178</v>
      </c>
      <c r="C44" t="s">
        <v>179</v>
      </c>
      <c r="D44" s="1">
        <v>45960</v>
      </c>
      <c r="E44" t="s">
        <v>80</v>
      </c>
      <c r="F44" t="s">
        <v>81</v>
      </c>
      <c r="G44">
        <v>5</v>
      </c>
      <c r="H44">
        <v>645.26</v>
      </c>
      <c r="I44" t="s">
        <v>67</v>
      </c>
      <c r="J44" t="s">
        <v>19</v>
      </c>
      <c r="K44">
        <v>3226.3</v>
      </c>
      <c r="L44" t="str">
        <f t="shared" si="1"/>
        <v>Oct</v>
      </c>
      <c r="M44">
        <v>2025</v>
      </c>
      <c r="N44" t="s">
        <v>60</v>
      </c>
      <c r="O44" t="s">
        <v>21</v>
      </c>
    </row>
    <row r="45" spans="1:15" x14ac:dyDescent="0.3">
      <c r="A45" t="s">
        <v>180</v>
      </c>
      <c r="B45" t="s">
        <v>181</v>
      </c>
      <c r="C45" t="s">
        <v>182</v>
      </c>
      <c r="D45" s="1">
        <v>45849</v>
      </c>
      <c r="E45" t="s">
        <v>153</v>
      </c>
      <c r="F45" t="s">
        <v>81</v>
      </c>
      <c r="G45">
        <v>5</v>
      </c>
      <c r="H45">
        <v>826.77</v>
      </c>
      <c r="I45" t="s">
        <v>55</v>
      </c>
      <c r="J45" t="s">
        <v>50</v>
      </c>
      <c r="K45">
        <v>4133.8500000000004</v>
      </c>
      <c r="L45" t="str">
        <f t="shared" si="1"/>
        <v>Jul</v>
      </c>
      <c r="M45">
        <v>2025</v>
      </c>
      <c r="N45" t="s">
        <v>60</v>
      </c>
      <c r="O45" t="s">
        <v>51</v>
      </c>
    </row>
    <row r="46" spans="1:15" x14ac:dyDescent="0.3">
      <c r="A46" t="s">
        <v>183</v>
      </c>
      <c r="B46" t="s">
        <v>184</v>
      </c>
      <c r="C46" t="s">
        <v>185</v>
      </c>
      <c r="D46" s="1">
        <v>45684</v>
      </c>
      <c r="E46" t="s">
        <v>186</v>
      </c>
      <c r="F46" t="s">
        <v>34</v>
      </c>
      <c r="G46">
        <v>5</v>
      </c>
      <c r="H46">
        <v>849.07</v>
      </c>
      <c r="I46" t="s">
        <v>55</v>
      </c>
      <c r="J46" t="s">
        <v>28</v>
      </c>
      <c r="K46">
        <v>4245.3500000000004</v>
      </c>
      <c r="L46" t="str">
        <f t="shared" si="1"/>
        <v>Jan</v>
      </c>
      <c r="M46">
        <v>2025</v>
      </c>
      <c r="N46" t="s">
        <v>60</v>
      </c>
      <c r="O46" t="s">
        <v>21</v>
      </c>
    </row>
    <row r="47" spans="1:15" x14ac:dyDescent="0.3">
      <c r="A47" t="s">
        <v>187</v>
      </c>
      <c r="B47" t="s">
        <v>188</v>
      </c>
      <c r="C47" t="s">
        <v>189</v>
      </c>
      <c r="D47" s="1">
        <v>45047</v>
      </c>
      <c r="E47" t="s">
        <v>190</v>
      </c>
      <c r="F47" t="s">
        <v>26</v>
      </c>
      <c r="G47">
        <v>2</v>
      </c>
      <c r="H47">
        <v>860.99</v>
      </c>
      <c r="I47" t="s">
        <v>55</v>
      </c>
      <c r="J47" t="s">
        <v>59</v>
      </c>
      <c r="K47">
        <v>1721.98</v>
      </c>
      <c r="L47" t="str">
        <f t="shared" si="1"/>
        <v>May</v>
      </c>
      <c r="M47">
        <v>2023</v>
      </c>
      <c r="N47" t="s">
        <v>42</v>
      </c>
      <c r="O47" t="s">
        <v>51</v>
      </c>
    </row>
    <row r="48" spans="1:15" x14ac:dyDescent="0.3">
      <c r="A48" t="s">
        <v>191</v>
      </c>
      <c r="B48" t="s">
        <v>192</v>
      </c>
      <c r="C48" t="s">
        <v>193</v>
      </c>
      <c r="D48" s="1">
        <v>45847</v>
      </c>
      <c r="E48" t="s">
        <v>72</v>
      </c>
      <c r="F48" t="s">
        <v>34</v>
      </c>
      <c r="G48">
        <v>2</v>
      </c>
      <c r="H48">
        <v>705.42</v>
      </c>
      <c r="I48" t="s">
        <v>55</v>
      </c>
      <c r="J48" t="s">
        <v>28</v>
      </c>
      <c r="K48">
        <v>1410.84</v>
      </c>
      <c r="L48" t="str">
        <f t="shared" si="1"/>
        <v>Jul</v>
      </c>
      <c r="M48">
        <v>2025</v>
      </c>
      <c r="N48" t="s">
        <v>42</v>
      </c>
      <c r="O48" t="s">
        <v>21</v>
      </c>
    </row>
    <row r="49" spans="1:15" x14ac:dyDescent="0.3">
      <c r="A49" t="s">
        <v>194</v>
      </c>
      <c r="B49" t="s">
        <v>195</v>
      </c>
      <c r="C49" t="s">
        <v>196</v>
      </c>
      <c r="D49" s="1">
        <v>45778</v>
      </c>
      <c r="E49" t="s">
        <v>197</v>
      </c>
      <c r="F49" t="s">
        <v>81</v>
      </c>
      <c r="G49">
        <v>4</v>
      </c>
      <c r="H49">
        <v>596.15</v>
      </c>
      <c r="I49" t="s">
        <v>18</v>
      </c>
      <c r="J49" t="s">
        <v>19</v>
      </c>
      <c r="K49">
        <v>2384.6</v>
      </c>
      <c r="L49" t="str">
        <f t="shared" si="1"/>
        <v>May</v>
      </c>
      <c r="M49">
        <v>2025</v>
      </c>
      <c r="N49" t="s">
        <v>60</v>
      </c>
      <c r="O49" t="s">
        <v>21</v>
      </c>
    </row>
    <row r="50" spans="1:15" x14ac:dyDescent="0.3">
      <c r="A50" t="s">
        <v>198</v>
      </c>
      <c r="B50" t="s">
        <v>199</v>
      </c>
      <c r="C50" t="s">
        <v>200</v>
      </c>
      <c r="D50" s="1">
        <v>45729</v>
      </c>
      <c r="E50" t="s">
        <v>33</v>
      </c>
      <c r="F50" t="s">
        <v>34</v>
      </c>
      <c r="G50">
        <v>1</v>
      </c>
      <c r="H50">
        <v>660.98</v>
      </c>
      <c r="I50" t="s">
        <v>18</v>
      </c>
      <c r="J50" t="s">
        <v>59</v>
      </c>
      <c r="K50">
        <v>660.98</v>
      </c>
      <c r="L50" t="str">
        <f t="shared" si="1"/>
        <v>Mar</v>
      </c>
      <c r="M50">
        <v>2025</v>
      </c>
      <c r="N50" t="s">
        <v>42</v>
      </c>
      <c r="O50" t="s">
        <v>51</v>
      </c>
    </row>
    <row r="51" spans="1:15" x14ac:dyDescent="0.3">
      <c r="A51" t="s">
        <v>201</v>
      </c>
      <c r="B51" t="s">
        <v>202</v>
      </c>
      <c r="C51" t="s">
        <v>203</v>
      </c>
      <c r="D51" s="1">
        <v>45837</v>
      </c>
      <c r="E51" t="s">
        <v>76</v>
      </c>
      <c r="F51" t="s">
        <v>41</v>
      </c>
      <c r="G51">
        <v>5</v>
      </c>
      <c r="H51">
        <v>896.38</v>
      </c>
      <c r="I51" t="s">
        <v>55</v>
      </c>
      <c r="J51" t="s">
        <v>50</v>
      </c>
      <c r="K51">
        <v>4481.8999999999996</v>
      </c>
      <c r="L51" t="str">
        <f t="shared" si="1"/>
        <v>Jun</v>
      </c>
      <c r="M51">
        <v>2025</v>
      </c>
      <c r="N51" t="s">
        <v>60</v>
      </c>
      <c r="O51" t="s">
        <v>51</v>
      </c>
    </row>
    <row r="52" spans="1:15" x14ac:dyDescent="0.3">
      <c r="A52" t="s">
        <v>204</v>
      </c>
      <c r="B52" t="s">
        <v>205</v>
      </c>
      <c r="C52" t="s">
        <v>206</v>
      </c>
      <c r="D52" s="1">
        <v>45623</v>
      </c>
      <c r="E52" t="s">
        <v>108</v>
      </c>
      <c r="F52" t="s">
        <v>34</v>
      </c>
      <c r="G52">
        <v>1</v>
      </c>
      <c r="H52">
        <v>206.19</v>
      </c>
      <c r="I52" t="s">
        <v>67</v>
      </c>
      <c r="J52" t="s">
        <v>59</v>
      </c>
      <c r="K52">
        <v>206.19</v>
      </c>
      <c r="L52" t="str">
        <f t="shared" si="1"/>
        <v>Nov</v>
      </c>
      <c r="M52">
        <v>2024</v>
      </c>
      <c r="N52" t="s">
        <v>20</v>
      </c>
      <c r="O52" t="s">
        <v>51</v>
      </c>
    </row>
    <row r="53" spans="1:15" x14ac:dyDescent="0.3">
      <c r="A53" t="s">
        <v>207</v>
      </c>
      <c r="B53" t="s">
        <v>208</v>
      </c>
      <c r="C53" t="s">
        <v>209</v>
      </c>
      <c r="D53" s="1">
        <v>45839</v>
      </c>
      <c r="E53" t="s">
        <v>76</v>
      </c>
      <c r="F53" t="s">
        <v>41</v>
      </c>
      <c r="G53">
        <v>2</v>
      </c>
      <c r="H53">
        <v>457.16</v>
      </c>
      <c r="I53" t="s">
        <v>27</v>
      </c>
      <c r="J53" t="s">
        <v>28</v>
      </c>
      <c r="K53">
        <v>914.32</v>
      </c>
      <c r="L53" t="str">
        <f t="shared" si="1"/>
        <v>Jul</v>
      </c>
      <c r="M53">
        <v>2025</v>
      </c>
      <c r="N53" t="s">
        <v>42</v>
      </c>
      <c r="O53" t="s">
        <v>21</v>
      </c>
    </row>
    <row r="54" spans="1:15" x14ac:dyDescent="0.3">
      <c r="A54" t="s">
        <v>210</v>
      </c>
      <c r="B54" t="s">
        <v>211</v>
      </c>
      <c r="C54" t="s">
        <v>212</v>
      </c>
      <c r="D54" s="1">
        <v>45922</v>
      </c>
      <c r="E54" t="s">
        <v>134</v>
      </c>
      <c r="F54" t="s">
        <v>17</v>
      </c>
      <c r="G54">
        <v>3</v>
      </c>
      <c r="H54">
        <v>233.11</v>
      </c>
      <c r="I54" t="s">
        <v>27</v>
      </c>
      <c r="J54" t="s">
        <v>59</v>
      </c>
      <c r="K54">
        <v>699.33</v>
      </c>
      <c r="L54" t="str">
        <f t="shared" si="1"/>
        <v>Sep</v>
      </c>
      <c r="M54">
        <v>2025</v>
      </c>
      <c r="N54" t="s">
        <v>42</v>
      </c>
      <c r="O54" t="s">
        <v>51</v>
      </c>
    </row>
    <row r="55" spans="1:15" x14ac:dyDescent="0.3">
      <c r="A55" t="s">
        <v>213</v>
      </c>
      <c r="B55" t="s">
        <v>214</v>
      </c>
      <c r="C55" t="s">
        <v>215</v>
      </c>
      <c r="D55" s="1">
        <v>45854</v>
      </c>
      <c r="E55" t="s">
        <v>108</v>
      </c>
      <c r="F55" t="s">
        <v>34</v>
      </c>
      <c r="G55">
        <v>4</v>
      </c>
      <c r="H55">
        <v>278.89999999999998</v>
      </c>
      <c r="I55" t="s">
        <v>18</v>
      </c>
      <c r="J55" t="s">
        <v>28</v>
      </c>
      <c r="K55">
        <v>1115.5999999999999</v>
      </c>
      <c r="L55" t="str">
        <f t="shared" si="1"/>
        <v>Jul</v>
      </c>
      <c r="M55">
        <v>2025</v>
      </c>
      <c r="N55" t="s">
        <v>42</v>
      </c>
      <c r="O55" t="s">
        <v>21</v>
      </c>
    </row>
    <row r="56" spans="1:15" x14ac:dyDescent="0.3">
      <c r="A56" t="s">
        <v>216</v>
      </c>
      <c r="B56" t="s">
        <v>217</v>
      </c>
      <c r="C56" t="s">
        <v>218</v>
      </c>
      <c r="D56" s="1">
        <v>45709</v>
      </c>
      <c r="E56" t="s">
        <v>16</v>
      </c>
      <c r="F56" t="s">
        <v>17</v>
      </c>
      <c r="G56">
        <v>5</v>
      </c>
      <c r="H56">
        <v>789.64</v>
      </c>
      <c r="I56" t="s">
        <v>18</v>
      </c>
      <c r="J56" t="s">
        <v>50</v>
      </c>
      <c r="K56">
        <v>3948.2</v>
      </c>
      <c r="L56" t="str">
        <f t="shared" si="1"/>
        <v>Feb</v>
      </c>
      <c r="M56">
        <v>2025</v>
      </c>
      <c r="N56" t="s">
        <v>60</v>
      </c>
      <c r="O56" t="s">
        <v>51</v>
      </c>
    </row>
    <row r="57" spans="1:15" x14ac:dyDescent="0.3">
      <c r="A57" t="s">
        <v>219</v>
      </c>
      <c r="B57" t="s">
        <v>220</v>
      </c>
      <c r="C57" t="s">
        <v>221</v>
      </c>
      <c r="D57" s="1">
        <v>45778</v>
      </c>
      <c r="E57" t="s">
        <v>80</v>
      </c>
      <c r="F57" t="s">
        <v>81</v>
      </c>
      <c r="G57">
        <v>1</v>
      </c>
      <c r="H57">
        <v>40.950000000000003</v>
      </c>
      <c r="I57" t="s">
        <v>27</v>
      </c>
      <c r="J57" t="s">
        <v>59</v>
      </c>
      <c r="K57">
        <v>40.950000000000003</v>
      </c>
      <c r="L57" t="str">
        <f t="shared" si="1"/>
        <v>May</v>
      </c>
      <c r="M57">
        <v>2025</v>
      </c>
      <c r="N57" t="s">
        <v>20</v>
      </c>
      <c r="O57" t="s">
        <v>51</v>
      </c>
    </row>
    <row r="58" spans="1:15" x14ac:dyDescent="0.3">
      <c r="A58" t="s">
        <v>222</v>
      </c>
      <c r="B58" t="s">
        <v>223</v>
      </c>
      <c r="C58" t="s">
        <v>224</v>
      </c>
      <c r="D58" s="1">
        <v>45624</v>
      </c>
      <c r="E58" t="s">
        <v>225</v>
      </c>
      <c r="F58" t="s">
        <v>81</v>
      </c>
      <c r="G58">
        <v>2</v>
      </c>
      <c r="H58" t="s">
        <v>29</v>
      </c>
      <c r="I58" t="s">
        <v>55</v>
      </c>
      <c r="J58" t="s">
        <v>19</v>
      </c>
      <c r="L58" t="str">
        <f t="shared" si="1"/>
        <v>Nov</v>
      </c>
      <c r="M58">
        <v>2024</v>
      </c>
      <c r="N58" t="s">
        <v>29</v>
      </c>
      <c r="O58" t="s">
        <v>21</v>
      </c>
    </row>
    <row r="59" spans="1:15" x14ac:dyDescent="0.3">
      <c r="A59" t="s">
        <v>226</v>
      </c>
      <c r="B59" t="s">
        <v>227</v>
      </c>
      <c r="C59" t="s">
        <v>228</v>
      </c>
      <c r="D59" s="1">
        <v>45967</v>
      </c>
      <c r="E59" t="s">
        <v>197</v>
      </c>
      <c r="F59" t="s">
        <v>81</v>
      </c>
      <c r="G59">
        <v>4</v>
      </c>
      <c r="H59">
        <v>275.10000000000002</v>
      </c>
      <c r="I59" t="s">
        <v>55</v>
      </c>
      <c r="J59" t="s">
        <v>28</v>
      </c>
      <c r="K59">
        <v>1100.4000000000001</v>
      </c>
      <c r="L59" t="str">
        <f t="shared" si="1"/>
        <v>Nov</v>
      </c>
      <c r="M59">
        <v>2025</v>
      </c>
      <c r="N59" t="s">
        <v>42</v>
      </c>
      <c r="O59" t="s">
        <v>21</v>
      </c>
    </row>
    <row r="60" spans="1:15" x14ac:dyDescent="0.3">
      <c r="A60" t="s">
        <v>229</v>
      </c>
      <c r="B60" t="s">
        <v>230</v>
      </c>
      <c r="C60" t="s">
        <v>231</v>
      </c>
      <c r="D60" s="1">
        <v>45752</v>
      </c>
      <c r="E60" t="s">
        <v>157</v>
      </c>
      <c r="F60" t="s">
        <v>26</v>
      </c>
      <c r="G60">
        <v>1</v>
      </c>
      <c r="H60">
        <v>933.58</v>
      </c>
      <c r="I60" t="s">
        <v>18</v>
      </c>
      <c r="J60" t="s">
        <v>19</v>
      </c>
      <c r="K60">
        <v>933.58</v>
      </c>
      <c r="L60" t="str">
        <f t="shared" si="1"/>
        <v>Apr</v>
      </c>
      <c r="M60">
        <v>2025</v>
      </c>
      <c r="N60" t="s">
        <v>42</v>
      </c>
      <c r="O60" t="s">
        <v>21</v>
      </c>
    </row>
    <row r="61" spans="1:15" x14ac:dyDescent="0.3">
      <c r="A61" t="s">
        <v>232</v>
      </c>
      <c r="B61" t="s">
        <v>233</v>
      </c>
      <c r="C61" t="s">
        <v>234</v>
      </c>
      <c r="D61" s="1">
        <v>45866</v>
      </c>
      <c r="E61" t="s">
        <v>95</v>
      </c>
      <c r="F61" t="s">
        <v>17</v>
      </c>
      <c r="G61">
        <v>3</v>
      </c>
      <c r="H61">
        <v>163.16</v>
      </c>
      <c r="I61" t="s">
        <v>27</v>
      </c>
      <c r="J61" t="s">
        <v>19</v>
      </c>
      <c r="K61">
        <v>489.48</v>
      </c>
      <c r="L61" t="str">
        <f t="shared" si="1"/>
        <v>Jul</v>
      </c>
      <c r="M61">
        <v>2025</v>
      </c>
      <c r="N61" t="s">
        <v>20</v>
      </c>
      <c r="O61" t="s">
        <v>21</v>
      </c>
    </row>
    <row r="62" spans="1:15" x14ac:dyDescent="0.3">
      <c r="A62" t="s">
        <v>235</v>
      </c>
      <c r="B62" t="s">
        <v>236</v>
      </c>
      <c r="C62" t="s">
        <v>237</v>
      </c>
      <c r="D62" s="1">
        <v>45660</v>
      </c>
      <c r="E62" t="s">
        <v>40</v>
      </c>
      <c r="F62" t="s">
        <v>41</v>
      </c>
      <c r="G62">
        <v>5</v>
      </c>
      <c r="H62">
        <v>242.52</v>
      </c>
      <c r="I62" t="s">
        <v>18</v>
      </c>
      <c r="J62" t="s">
        <v>59</v>
      </c>
      <c r="K62">
        <v>1212.5999999999999</v>
      </c>
      <c r="L62" t="str">
        <f t="shared" si="1"/>
        <v>Jan</v>
      </c>
      <c r="M62">
        <v>2025</v>
      </c>
      <c r="N62" t="s">
        <v>42</v>
      </c>
      <c r="O62" t="s">
        <v>51</v>
      </c>
    </row>
    <row r="63" spans="1:15" x14ac:dyDescent="0.3">
      <c r="A63" t="s">
        <v>238</v>
      </c>
      <c r="B63" t="s">
        <v>239</v>
      </c>
      <c r="C63" t="s">
        <v>240</v>
      </c>
      <c r="D63" s="1">
        <v>45641</v>
      </c>
      <c r="E63" t="s">
        <v>40</v>
      </c>
      <c r="F63" t="s">
        <v>41</v>
      </c>
      <c r="G63">
        <v>4</v>
      </c>
      <c r="H63">
        <v>209.32</v>
      </c>
      <c r="I63" t="s">
        <v>55</v>
      </c>
      <c r="J63" t="s">
        <v>19</v>
      </c>
      <c r="K63">
        <v>837.28</v>
      </c>
      <c r="L63" t="str">
        <f t="shared" si="1"/>
        <v>Dec</v>
      </c>
      <c r="M63">
        <v>2024</v>
      </c>
      <c r="N63" t="s">
        <v>42</v>
      </c>
      <c r="O63" t="s">
        <v>21</v>
      </c>
    </row>
    <row r="64" spans="1:15" x14ac:dyDescent="0.3">
      <c r="A64" t="s">
        <v>241</v>
      </c>
      <c r="B64" t="s">
        <v>242</v>
      </c>
      <c r="C64" t="s">
        <v>243</v>
      </c>
      <c r="D64" s="1">
        <v>45796</v>
      </c>
      <c r="E64" t="s">
        <v>16</v>
      </c>
      <c r="F64" t="s">
        <v>17</v>
      </c>
      <c r="G64">
        <v>2</v>
      </c>
      <c r="H64">
        <v>155.76</v>
      </c>
      <c r="I64" t="s">
        <v>67</v>
      </c>
      <c r="J64" t="s">
        <v>59</v>
      </c>
      <c r="K64">
        <v>311.52</v>
      </c>
      <c r="L64" t="str">
        <f t="shared" si="1"/>
        <v>May</v>
      </c>
      <c r="M64">
        <v>2025</v>
      </c>
      <c r="N64" t="s">
        <v>20</v>
      </c>
      <c r="O64" t="s">
        <v>51</v>
      </c>
    </row>
    <row r="65" spans="1:15" x14ac:dyDescent="0.3">
      <c r="A65" t="s">
        <v>244</v>
      </c>
      <c r="B65" t="s">
        <v>245</v>
      </c>
      <c r="C65" t="s">
        <v>246</v>
      </c>
      <c r="D65" s="1">
        <v>44931</v>
      </c>
      <c r="E65" t="s">
        <v>157</v>
      </c>
      <c r="F65" t="s">
        <v>26</v>
      </c>
      <c r="G65">
        <v>3</v>
      </c>
      <c r="H65">
        <v>235.26</v>
      </c>
      <c r="I65" t="s">
        <v>18</v>
      </c>
      <c r="J65" t="s">
        <v>19</v>
      </c>
      <c r="K65">
        <v>705.78</v>
      </c>
      <c r="L65" t="str">
        <f t="shared" si="1"/>
        <v>Jan</v>
      </c>
      <c r="M65">
        <v>2023</v>
      </c>
      <c r="N65" t="s">
        <v>42</v>
      </c>
      <c r="O65" t="s">
        <v>21</v>
      </c>
    </row>
    <row r="66" spans="1:15" x14ac:dyDescent="0.3">
      <c r="A66" t="s">
        <v>247</v>
      </c>
      <c r="B66" t="s">
        <v>248</v>
      </c>
      <c r="C66" t="s">
        <v>249</v>
      </c>
      <c r="D66" s="1">
        <v>45697</v>
      </c>
      <c r="E66" t="s">
        <v>33</v>
      </c>
      <c r="F66" t="s">
        <v>34</v>
      </c>
      <c r="G66" t="s">
        <v>29</v>
      </c>
      <c r="H66">
        <v>587.64</v>
      </c>
      <c r="I66" t="s">
        <v>67</v>
      </c>
      <c r="J66" t="s">
        <v>59</v>
      </c>
      <c r="L66" t="str">
        <f t="shared" ref="L66:L100" si="2">TEXT(D66,"mmm")</f>
        <v>Feb</v>
      </c>
      <c r="M66">
        <v>2025</v>
      </c>
      <c r="N66" t="s">
        <v>29</v>
      </c>
      <c r="O66" t="s">
        <v>51</v>
      </c>
    </row>
    <row r="67" spans="1:15" x14ac:dyDescent="0.3">
      <c r="A67" t="s">
        <v>250</v>
      </c>
      <c r="B67" t="s">
        <v>251</v>
      </c>
      <c r="C67" t="s">
        <v>252</v>
      </c>
      <c r="D67" s="1">
        <v>45604</v>
      </c>
      <c r="E67" t="s">
        <v>80</v>
      </c>
      <c r="F67" t="s">
        <v>81</v>
      </c>
      <c r="G67">
        <v>2</v>
      </c>
      <c r="H67">
        <v>443.13</v>
      </c>
      <c r="I67" t="s">
        <v>67</v>
      </c>
      <c r="J67" t="s">
        <v>35</v>
      </c>
      <c r="K67">
        <v>886.26</v>
      </c>
      <c r="L67" t="str">
        <f t="shared" si="2"/>
        <v>Nov</v>
      </c>
      <c r="M67">
        <v>2024</v>
      </c>
      <c r="N67" t="s">
        <v>42</v>
      </c>
      <c r="O67" t="s">
        <v>36</v>
      </c>
    </row>
    <row r="68" spans="1:15" x14ac:dyDescent="0.3">
      <c r="A68" t="s">
        <v>253</v>
      </c>
      <c r="B68" t="s">
        <v>254</v>
      </c>
      <c r="C68" t="s">
        <v>255</v>
      </c>
      <c r="D68" s="1">
        <v>45841</v>
      </c>
      <c r="E68" t="s">
        <v>153</v>
      </c>
      <c r="F68" t="s">
        <v>81</v>
      </c>
      <c r="G68">
        <v>2</v>
      </c>
      <c r="H68">
        <v>569.38</v>
      </c>
      <c r="I68" t="s">
        <v>18</v>
      </c>
      <c r="J68" t="s">
        <v>19</v>
      </c>
      <c r="K68">
        <v>1138.76</v>
      </c>
      <c r="L68" t="str">
        <f t="shared" si="2"/>
        <v>Jul</v>
      </c>
      <c r="M68">
        <v>2025</v>
      </c>
      <c r="N68" t="s">
        <v>42</v>
      </c>
      <c r="O68" t="s">
        <v>21</v>
      </c>
    </row>
    <row r="69" spans="1:15" x14ac:dyDescent="0.3">
      <c r="A69" t="s">
        <v>256</v>
      </c>
      <c r="B69" t="s">
        <v>257</v>
      </c>
      <c r="C69" t="s">
        <v>258</v>
      </c>
      <c r="D69" s="1">
        <v>45876</v>
      </c>
      <c r="E69" t="s">
        <v>72</v>
      </c>
      <c r="F69" t="s">
        <v>34</v>
      </c>
      <c r="G69" t="s">
        <v>29</v>
      </c>
      <c r="H69">
        <v>593.92999999999995</v>
      </c>
      <c r="I69" t="s">
        <v>18</v>
      </c>
      <c r="J69" t="s">
        <v>28</v>
      </c>
      <c r="L69" t="str">
        <f t="shared" si="2"/>
        <v>Aug</v>
      </c>
      <c r="M69">
        <v>2025</v>
      </c>
      <c r="N69" t="s">
        <v>29</v>
      </c>
      <c r="O69" t="s">
        <v>21</v>
      </c>
    </row>
    <row r="70" spans="1:15" x14ac:dyDescent="0.3">
      <c r="A70" t="s">
        <v>259</v>
      </c>
      <c r="B70" t="s">
        <v>260</v>
      </c>
      <c r="C70" t="s">
        <v>261</v>
      </c>
      <c r="D70" s="1">
        <v>45965</v>
      </c>
      <c r="E70" t="s">
        <v>46</v>
      </c>
      <c r="F70" t="s">
        <v>41</v>
      </c>
      <c r="G70">
        <v>2</v>
      </c>
      <c r="H70">
        <v>141.49</v>
      </c>
      <c r="I70" t="s">
        <v>27</v>
      </c>
      <c r="J70" t="s">
        <v>50</v>
      </c>
      <c r="K70">
        <v>282.98</v>
      </c>
      <c r="L70" t="str">
        <f t="shared" si="2"/>
        <v>Nov</v>
      </c>
      <c r="M70">
        <v>2025</v>
      </c>
      <c r="N70" t="s">
        <v>20</v>
      </c>
      <c r="O70" t="s">
        <v>51</v>
      </c>
    </row>
    <row r="71" spans="1:15" x14ac:dyDescent="0.3">
      <c r="A71" t="s">
        <v>262</v>
      </c>
      <c r="B71" t="s">
        <v>263</v>
      </c>
      <c r="C71" t="s">
        <v>264</v>
      </c>
      <c r="D71" s="1">
        <v>45881</v>
      </c>
      <c r="E71" t="s">
        <v>72</v>
      </c>
      <c r="F71" t="s">
        <v>34</v>
      </c>
      <c r="G71">
        <v>1</v>
      </c>
      <c r="H71">
        <v>582.13</v>
      </c>
      <c r="I71" t="s">
        <v>67</v>
      </c>
      <c r="J71" t="s">
        <v>59</v>
      </c>
      <c r="K71">
        <v>582.13</v>
      </c>
      <c r="L71" t="str">
        <f t="shared" si="2"/>
        <v>Aug</v>
      </c>
      <c r="M71">
        <v>2025</v>
      </c>
      <c r="N71" t="s">
        <v>42</v>
      </c>
      <c r="O71" t="s">
        <v>51</v>
      </c>
    </row>
    <row r="72" spans="1:15" x14ac:dyDescent="0.3">
      <c r="A72" t="s">
        <v>265</v>
      </c>
      <c r="B72" t="s">
        <v>266</v>
      </c>
      <c r="C72" t="s">
        <v>267</v>
      </c>
      <c r="D72" s="1">
        <v>45933</v>
      </c>
      <c r="E72" t="s">
        <v>225</v>
      </c>
      <c r="F72" t="s">
        <v>81</v>
      </c>
      <c r="G72">
        <v>5</v>
      </c>
      <c r="H72">
        <v>741.63</v>
      </c>
      <c r="I72" t="s">
        <v>55</v>
      </c>
      <c r="J72" t="s">
        <v>28</v>
      </c>
      <c r="K72">
        <v>3708.15</v>
      </c>
      <c r="L72" t="str">
        <f t="shared" si="2"/>
        <v>Oct</v>
      </c>
      <c r="M72">
        <v>2025</v>
      </c>
      <c r="N72" t="s">
        <v>60</v>
      </c>
      <c r="O72" t="s">
        <v>21</v>
      </c>
    </row>
    <row r="73" spans="1:15" x14ac:dyDescent="0.3">
      <c r="A73" t="s">
        <v>268</v>
      </c>
      <c r="B73" t="s">
        <v>269</v>
      </c>
      <c r="C73" t="s">
        <v>270</v>
      </c>
      <c r="D73" s="1">
        <v>45632</v>
      </c>
      <c r="E73" t="s">
        <v>80</v>
      </c>
      <c r="F73" t="s">
        <v>81</v>
      </c>
      <c r="G73">
        <v>3</v>
      </c>
      <c r="H73">
        <v>688.68</v>
      </c>
      <c r="I73" t="s">
        <v>27</v>
      </c>
      <c r="J73" t="s">
        <v>28</v>
      </c>
      <c r="K73">
        <v>2066.04</v>
      </c>
      <c r="L73" t="str">
        <f t="shared" si="2"/>
        <v>Dec</v>
      </c>
      <c r="M73">
        <v>2024</v>
      </c>
      <c r="N73" t="s">
        <v>60</v>
      </c>
      <c r="O73" t="s">
        <v>21</v>
      </c>
    </row>
    <row r="74" spans="1:15" x14ac:dyDescent="0.3">
      <c r="A74" t="s">
        <v>271</v>
      </c>
      <c r="B74" t="s">
        <v>272</v>
      </c>
      <c r="C74" t="s">
        <v>273</v>
      </c>
      <c r="D74" s="1">
        <v>45614</v>
      </c>
      <c r="E74" t="s">
        <v>76</v>
      </c>
      <c r="F74" t="s">
        <v>41</v>
      </c>
      <c r="G74">
        <v>2</v>
      </c>
      <c r="H74">
        <v>942.76</v>
      </c>
      <c r="I74" t="s">
        <v>55</v>
      </c>
      <c r="J74" t="s">
        <v>59</v>
      </c>
      <c r="K74">
        <v>1885.52</v>
      </c>
      <c r="L74" t="str">
        <f t="shared" si="2"/>
        <v>Nov</v>
      </c>
      <c r="M74">
        <v>2024</v>
      </c>
      <c r="N74" t="s">
        <v>42</v>
      </c>
      <c r="O74" t="s">
        <v>51</v>
      </c>
    </row>
    <row r="75" spans="1:15" x14ac:dyDescent="0.3">
      <c r="A75" t="s">
        <v>274</v>
      </c>
      <c r="B75" t="s">
        <v>275</v>
      </c>
      <c r="C75" t="s">
        <v>276</v>
      </c>
      <c r="D75" s="1">
        <v>45941</v>
      </c>
      <c r="E75" t="s">
        <v>134</v>
      </c>
      <c r="F75" t="s">
        <v>17</v>
      </c>
      <c r="G75">
        <v>5</v>
      </c>
      <c r="H75">
        <v>351.89</v>
      </c>
      <c r="I75" t="s">
        <v>67</v>
      </c>
      <c r="J75" t="s">
        <v>19</v>
      </c>
      <c r="K75">
        <v>1759.45</v>
      </c>
      <c r="L75" t="str">
        <f t="shared" si="2"/>
        <v>Oct</v>
      </c>
      <c r="M75">
        <v>2025</v>
      </c>
      <c r="N75" t="s">
        <v>42</v>
      </c>
      <c r="O75" t="s">
        <v>21</v>
      </c>
    </row>
    <row r="76" spans="1:15" x14ac:dyDescent="0.3">
      <c r="A76" t="s">
        <v>277</v>
      </c>
      <c r="B76" t="s">
        <v>278</v>
      </c>
      <c r="C76" t="s">
        <v>279</v>
      </c>
      <c r="D76" s="1">
        <v>45920</v>
      </c>
      <c r="E76" t="s">
        <v>95</v>
      </c>
      <c r="F76" t="s">
        <v>17</v>
      </c>
      <c r="G76">
        <v>4</v>
      </c>
      <c r="H76">
        <v>187.48</v>
      </c>
      <c r="I76" t="s">
        <v>67</v>
      </c>
      <c r="J76" t="s">
        <v>59</v>
      </c>
      <c r="K76">
        <v>749.92</v>
      </c>
      <c r="L76" t="str">
        <f t="shared" si="2"/>
        <v>Sep</v>
      </c>
      <c r="M76">
        <v>2025</v>
      </c>
      <c r="N76" t="s">
        <v>42</v>
      </c>
      <c r="O76" t="s">
        <v>51</v>
      </c>
    </row>
    <row r="77" spans="1:15" x14ac:dyDescent="0.3">
      <c r="A77" t="s">
        <v>280</v>
      </c>
      <c r="B77" t="s">
        <v>281</v>
      </c>
      <c r="C77" t="s">
        <v>282</v>
      </c>
      <c r="D77" s="1">
        <v>45712</v>
      </c>
      <c r="E77" t="s">
        <v>161</v>
      </c>
      <c r="F77" t="s">
        <v>26</v>
      </c>
      <c r="G77">
        <v>1</v>
      </c>
      <c r="H77">
        <v>111.36</v>
      </c>
      <c r="I77" t="s">
        <v>67</v>
      </c>
      <c r="J77" t="s">
        <v>28</v>
      </c>
      <c r="K77">
        <v>111.36</v>
      </c>
      <c r="L77" t="str">
        <f t="shared" si="2"/>
        <v>Feb</v>
      </c>
      <c r="M77">
        <v>2025</v>
      </c>
      <c r="N77" t="s">
        <v>20</v>
      </c>
      <c r="O77" t="s">
        <v>21</v>
      </c>
    </row>
    <row r="78" spans="1:15" x14ac:dyDescent="0.3">
      <c r="A78" t="s">
        <v>283</v>
      </c>
      <c r="B78" t="s">
        <v>284</v>
      </c>
      <c r="C78" t="s">
        <v>285</v>
      </c>
      <c r="D78" s="1">
        <v>45860</v>
      </c>
      <c r="E78" t="s">
        <v>76</v>
      </c>
      <c r="F78" t="s">
        <v>41</v>
      </c>
      <c r="G78">
        <v>5</v>
      </c>
      <c r="H78">
        <v>530.52</v>
      </c>
      <c r="I78" t="s">
        <v>18</v>
      </c>
      <c r="J78" t="s">
        <v>19</v>
      </c>
      <c r="K78">
        <v>2652.6</v>
      </c>
      <c r="L78" t="str">
        <f t="shared" si="2"/>
        <v>Jul</v>
      </c>
      <c r="M78">
        <v>2025</v>
      </c>
      <c r="N78" t="s">
        <v>60</v>
      </c>
      <c r="O78" t="s">
        <v>21</v>
      </c>
    </row>
    <row r="79" spans="1:15" x14ac:dyDescent="0.3">
      <c r="A79" t="s">
        <v>286</v>
      </c>
      <c r="B79" t="s">
        <v>287</v>
      </c>
      <c r="C79" t="s">
        <v>288</v>
      </c>
      <c r="D79" s="1">
        <v>45866</v>
      </c>
      <c r="E79" t="s">
        <v>190</v>
      </c>
      <c r="F79" t="s">
        <v>26</v>
      </c>
      <c r="G79">
        <v>1</v>
      </c>
      <c r="H79">
        <v>69.48</v>
      </c>
      <c r="I79" t="s">
        <v>55</v>
      </c>
      <c r="J79" t="s">
        <v>59</v>
      </c>
      <c r="K79">
        <v>69.48</v>
      </c>
      <c r="L79" t="str">
        <f t="shared" si="2"/>
        <v>Jul</v>
      </c>
      <c r="M79">
        <v>2025</v>
      </c>
      <c r="N79" t="s">
        <v>20</v>
      </c>
      <c r="O79" t="s">
        <v>51</v>
      </c>
    </row>
    <row r="80" spans="1:15" x14ac:dyDescent="0.3">
      <c r="A80" t="s">
        <v>289</v>
      </c>
      <c r="B80" t="s">
        <v>290</v>
      </c>
      <c r="C80" t="s">
        <v>291</v>
      </c>
      <c r="D80" s="1">
        <v>45918</v>
      </c>
      <c r="E80" t="s">
        <v>33</v>
      </c>
      <c r="F80" t="s">
        <v>34</v>
      </c>
      <c r="G80">
        <v>3</v>
      </c>
      <c r="H80">
        <v>472.14</v>
      </c>
      <c r="I80" t="s">
        <v>27</v>
      </c>
      <c r="J80" t="s">
        <v>59</v>
      </c>
      <c r="K80">
        <v>1416.42</v>
      </c>
      <c r="L80" t="str">
        <f t="shared" si="2"/>
        <v>Sep</v>
      </c>
      <c r="M80">
        <v>2025</v>
      </c>
      <c r="N80" t="s">
        <v>42</v>
      </c>
      <c r="O80" t="s">
        <v>51</v>
      </c>
    </row>
    <row r="81" spans="1:15" x14ac:dyDescent="0.3">
      <c r="A81" t="s">
        <v>292</v>
      </c>
      <c r="B81" t="s">
        <v>293</v>
      </c>
      <c r="C81" t="s">
        <v>294</v>
      </c>
      <c r="D81" s="1">
        <v>45903</v>
      </c>
      <c r="E81" t="s">
        <v>108</v>
      </c>
      <c r="F81" t="s">
        <v>34</v>
      </c>
      <c r="G81">
        <v>3</v>
      </c>
      <c r="H81">
        <v>868.67</v>
      </c>
      <c r="I81" t="s">
        <v>27</v>
      </c>
      <c r="J81" t="s">
        <v>35</v>
      </c>
      <c r="K81">
        <v>2606.0100000000002</v>
      </c>
      <c r="L81" t="str">
        <f t="shared" si="2"/>
        <v>Sep</v>
      </c>
      <c r="M81">
        <v>2025</v>
      </c>
      <c r="N81" t="s">
        <v>60</v>
      </c>
      <c r="O81" t="s">
        <v>36</v>
      </c>
    </row>
    <row r="82" spans="1:15" x14ac:dyDescent="0.3">
      <c r="A82" t="s">
        <v>295</v>
      </c>
      <c r="B82" t="s">
        <v>296</v>
      </c>
      <c r="C82" t="s">
        <v>297</v>
      </c>
      <c r="D82" s="1">
        <v>45742</v>
      </c>
      <c r="E82" t="s">
        <v>190</v>
      </c>
      <c r="F82" t="s">
        <v>26</v>
      </c>
      <c r="G82">
        <v>2</v>
      </c>
      <c r="H82">
        <v>418.38</v>
      </c>
      <c r="I82" t="s">
        <v>67</v>
      </c>
      <c r="J82" t="s">
        <v>28</v>
      </c>
      <c r="K82">
        <v>836.76</v>
      </c>
      <c r="L82" t="str">
        <f t="shared" si="2"/>
        <v>Mar</v>
      </c>
      <c r="M82">
        <v>2025</v>
      </c>
      <c r="N82" t="s">
        <v>42</v>
      </c>
      <c r="O82" t="s">
        <v>21</v>
      </c>
    </row>
    <row r="83" spans="1:15" x14ac:dyDescent="0.3">
      <c r="A83" t="s">
        <v>298</v>
      </c>
      <c r="B83" t="s">
        <v>299</v>
      </c>
      <c r="C83" t="s">
        <v>300</v>
      </c>
      <c r="D83" s="1">
        <v>45655</v>
      </c>
      <c r="E83" t="s">
        <v>25</v>
      </c>
      <c r="F83" t="s">
        <v>26</v>
      </c>
      <c r="G83">
        <v>1</v>
      </c>
      <c r="H83">
        <v>266.48</v>
      </c>
      <c r="I83" t="s">
        <v>18</v>
      </c>
      <c r="J83" t="s">
        <v>50</v>
      </c>
      <c r="K83">
        <v>266.48</v>
      </c>
      <c r="L83" t="str">
        <f t="shared" si="2"/>
        <v>Dec</v>
      </c>
      <c r="M83">
        <v>2024</v>
      </c>
      <c r="N83" t="s">
        <v>20</v>
      </c>
      <c r="O83" t="s">
        <v>51</v>
      </c>
    </row>
    <row r="84" spans="1:15" x14ac:dyDescent="0.3">
      <c r="A84" t="s">
        <v>301</v>
      </c>
      <c r="B84" t="s">
        <v>302</v>
      </c>
      <c r="C84" t="s">
        <v>303</v>
      </c>
      <c r="D84" s="1">
        <v>45872</v>
      </c>
      <c r="E84" t="s">
        <v>80</v>
      </c>
      <c r="F84" t="s">
        <v>81</v>
      </c>
      <c r="G84">
        <v>4</v>
      </c>
      <c r="H84">
        <v>538.35</v>
      </c>
      <c r="I84" t="s">
        <v>27</v>
      </c>
      <c r="J84" t="s">
        <v>28</v>
      </c>
      <c r="K84">
        <v>2153.4</v>
      </c>
      <c r="L84" t="str">
        <f t="shared" si="2"/>
        <v>Aug</v>
      </c>
      <c r="M84">
        <v>2025</v>
      </c>
      <c r="N84" t="s">
        <v>60</v>
      </c>
      <c r="O84" t="s">
        <v>21</v>
      </c>
    </row>
    <row r="85" spans="1:15" x14ac:dyDescent="0.3">
      <c r="A85" t="s">
        <v>304</v>
      </c>
      <c r="B85" t="s">
        <v>305</v>
      </c>
      <c r="C85" t="s">
        <v>306</v>
      </c>
      <c r="D85" s="1">
        <v>45726</v>
      </c>
      <c r="E85" t="s">
        <v>80</v>
      </c>
      <c r="F85" t="s">
        <v>81</v>
      </c>
      <c r="G85">
        <v>5</v>
      </c>
      <c r="H85" t="s">
        <v>29</v>
      </c>
      <c r="I85" t="s">
        <v>18</v>
      </c>
      <c r="J85" t="s">
        <v>59</v>
      </c>
      <c r="L85" t="str">
        <f t="shared" si="2"/>
        <v>Mar</v>
      </c>
      <c r="M85">
        <v>2025</v>
      </c>
      <c r="N85" t="s">
        <v>29</v>
      </c>
      <c r="O85" t="s">
        <v>51</v>
      </c>
    </row>
    <row r="86" spans="1:15" x14ac:dyDescent="0.3">
      <c r="A86" t="s">
        <v>307</v>
      </c>
      <c r="B86" t="s">
        <v>308</v>
      </c>
      <c r="C86" t="s">
        <v>309</v>
      </c>
      <c r="D86" s="1">
        <v>45703</v>
      </c>
      <c r="E86" t="s">
        <v>225</v>
      </c>
      <c r="F86" t="s">
        <v>81</v>
      </c>
      <c r="G86">
        <v>4</v>
      </c>
      <c r="H86">
        <v>101.19</v>
      </c>
      <c r="I86" t="s">
        <v>55</v>
      </c>
      <c r="J86" t="s">
        <v>28</v>
      </c>
      <c r="K86">
        <v>404.76</v>
      </c>
      <c r="L86" t="str">
        <f t="shared" si="2"/>
        <v>Feb</v>
      </c>
      <c r="M86">
        <v>2025</v>
      </c>
      <c r="N86" t="s">
        <v>20</v>
      </c>
      <c r="O86" t="s">
        <v>21</v>
      </c>
    </row>
    <row r="87" spans="1:15" x14ac:dyDescent="0.3">
      <c r="A87" t="s">
        <v>310</v>
      </c>
      <c r="B87" t="s">
        <v>311</v>
      </c>
      <c r="C87" t="s">
        <v>312</v>
      </c>
      <c r="D87" s="1">
        <v>45883</v>
      </c>
      <c r="E87" t="s">
        <v>186</v>
      </c>
      <c r="F87" t="s">
        <v>34</v>
      </c>
      <c r="G87">
        <v>2</v>
      </c>
      <c r="H87">
        <v>730.92</v>
      </c>
      <c r="I87" t="s">
        <v>18</v>
      </c>
      <c r="J87" t="s">
        <v>50</v>
      </c>
      <c r="K87">
        <v>1461.84</v>
      </c>
      <c r="L87" t="str">
        <f t="shared" si="2"/>
        <v>Aug</v>
      </c>
      <c r="M87">
        <v>2025</v>
      </c>
      <c r="N87" t="s">
        <v>42</v>
      </c>
      <c r="O87" t="s">
        <v>51</v>
      </c>
    </row>
    <row r="88" spans="1:15" x14ac:dyDescent="0.3">
      <c r="A88" t="s">
        <v>313</v>
      </c>
      <c r="B88" t="s">
        <v>314</v>
      </c>
      <c r="C88" t="s">
        <v>315</v>
      </c>
      <c r="D88" s="1">
        <v>45936</v>
      </c>
      <c r="E88" t="s">
        <v>190</v>
      </c>
      <c r="F88" t="s">
        <v>26</v>
      </c>
      <c r="G88">
        <v>1</v>
      </c>
      <c r="H88">
        <v>365.34</v>
      </c>
      <c r="I88" t="s">
        <v>55</v>
      </c>
      <c r="J88" t="s">
        <v>35</v>
      </c>
      <c r="K88">
        <v>365.34</v>
      </c>
      <c r="L88" t="str">
        <f t="shared" si="2"/>
        <v>Oct</v>
      </c>
      <c r="M88">
        <v>2025</v>
      </c>
      <c r="N88" t="s">
        <v>20</v>
      </c>
      <c r="O88" t="s">
        <v>36</v>
      </c>
    </row>
    <row r="89" spans="1:15" x14ac:dyDescent="0.3">
      <c r="A89" t="s">
        <v>316</v>
      </c>
      <c r="B89" t="s">
        <v>317</v>
      </c>
      <c r="C89" t="s">
        <v>318</v>
      </c>
      <c r="D89" s="1">
        <v>45615</v>
      </c>
      <c r="E89" t="s">
        <v>25</v>
      </c>
      <c r="F89" t="s">
        <v>26</v>
      </c>
      <c r="G89">
        <v>3</v>
      </c>
      <c r="H89">
        <v>882.96</v>
      </c>
      <c r="I89" t="s">
        <v>55</v>
      </c>
      <c r="J89" t="s">
        <v>59</v>
      </c>
      <c r="K89">
        <v>2648.88</v>
      </c>
      <c r="L89" t="str">
        <f t="shared" si="2"/>
        <v>Nov</v>
      </c>
      <c r="M89">
        <v>2024</v>
      </c>
      <c r="N89" t="s">
        <v>60</v>
      </c>
      <c r="O89" t="s">
        <v>51</v>
      </c>
    </row>
    <row r="90" spans="1:15" x14ac:dyDescent="0.3">
      <c r="A90" t="s">
        <v>319</v>
      </c>
      <c r="B90" t="s">
        <v>320</v>
      </c>
      <c r="C90" t="s">
        <v>321</v>
      </c>
      <c r="D90" s="1">
        <v>45615</v>
      </c>
      <c r="E90" t="s">
        <v>95</v>
      </c>
      <c r="F90" t="s">
        <v>17</v>
      </c>
      <c r="G90">
        <v>5</v>
      </c>
      <c r="H90">
        <v>504.05</v>
      </c>
      <c r="I90" t="s">
        <v>18</v>
      </c>
      <c r="J90" t="s">
        <v>19</v>
      </c>
      <c r="K90">
        <v>2520.25</v>
      </c>
      <c r="L90" t="str">
        <f t="shared" si="2"/>
        <v>Nov</v>
      </c>
      <c r="M90">
        <v>2024</v>
      </c>
      <c r="N90" t="s">
        <v>60</v>
      </c>
      <c r="O90" t="s">
        <v>21</v>
      </c>
    </row>
    <row r="91" spans="1:15" x14ac:dyDescent="0.3">
      <c r="A91" t="s">
        <v>322</v>
      </c>
      <c r="B91" t="s">
        <v>323</v>
      </c>
      <c r="C91" t="s">
        <v>324</v>
      </c>
      <c r="D91" s="1">
        <v>45883</v>
      </c>
      <c r="E91" t="s">
        <v>134</v>
      </c>
      <c r="F91" t="s">
        <v>17</v>
      </c>
      <c r="G91">
        <v>1</v>
      </c>
      <c r="H91">
        <v>814.68</v>
      </c>
      <c r="I91" t="s">
        <v>18</v>
      </c>
      <c r="J91" t="s">
        <v>59</v>
      </c>
      <c r="K91">
        <v>814.68</v>
      </c>
      <c r="L91" t="str">
        <f t="shared" si="2"/>
        <v>Aug</v>
      </c>
      <c r="M91">
        <v>2025</v>
      </c>
      <c r="N91" t="s">
        <v>42</v>
      </c>
      <c r="O91" t="s">
        <v>51</v>
      </c>
    </row>
    <row r="92" spans="1:15" x14ac:dyDescent="0.3">
      <c r="A92" t="s">
        <v>325</v>
      </c>
      <c r="B92" t="s">
        <v>326</v>
      </c>
      <c r="C92" t="s">
        <v>327</v>
      </c>
      <c r="D92" s="1">
        <v>45837</v>
      </c>
      <c r="E92" t="s">
        <v>118</v>
      </c>
      <c r="F92" t="s">
        <v>17</v>
      </c>
      <c r="G92">
        <v>1</v>
      </c>
      <c r="H92">
        <v>920.37</v>
      </c>
      <c r="I92" t="s">
        <v>55</v>
      </c>
      <c r="J92" t="s">
        <v>28</v>
      </c>
      <c r="K92">
        <v>920.37</v>
      </c>
      <c r="L92" t="str">
        <f t="shared" si="2"/>
        <v>Jun</v>
      </c>
      <c r="M92">
        <v>2025</v>
      </c>
      <c r="N92" t="s">
        <v>42</v>
      </c>
      <c r="O92" t="s">
        <v>21</v>
      </c>
    </row>
    <row r="93" spans="1:15" x14ac:dyDescent="0.3">
      <c r="A93" t="s">
        <v>328</v>
      </c>
      <c r="B93" t="s">
        <v>329</v>
      </c>
      <c r="C93" t="s">
        <v>330</v>
      </c>
      <c r="D93" s="1">
        <v>45856</v>
      </c>
      <c r="E93" t="s">
        <v>85</v>
      </c>
      <c r="F93" t="s">
        <v>41</v>
      </c>
      <c r="G93">
        <v>2</v>
      </c>
      <c r="H93">
        <v>881.02</v>
      </c>
      <c r="I93" t="s">
        <v>18</v>
      </c>
      <c r="J93" t="s">
        <v>59</v>
      </c>
      <c r="K93">
        <v>1762.04</v>
      </c>
      <c r="L93" t="str">
        <f t="shared" si="2"/>
        <v>Jul</v>
      </c>
      <c r="M93">
        <v>2025</v>
      </c>
      <c r="N93" t="s">
        <v>42</v>
      </c>
      <c r="O93" t="s">
        <v>51</v>
      </c>
    </row>
    <row r="94" spans="1:15" x14ac:dyDescent="0.3">
      <c r="A94" t="s">
        <v>331</v>
      </c>
      <c r="B94" t="s">
        <v>332</v>
      </c>
      <c r="C94" t="s">
        <v>333</v>
      </c>
      <c r="D94" s="1">
        <v>45814</v>
      </c>
      <c r="E94" t="s">
        <v>72</v>
      </c>
      <c r="F94" t="s">
        <v>34</v>
      </c>
      <c r="G94" t="s">
        <v>29</v>
      </c>
      <c r="H94">
        <v>522.02</v>
      </c>
      <c r="I94" t="s">
        <v>27</v>
      </c>
      <c r="J94" t="s">
        <v>19</v>
      </c>
      <c r="L94" t="str">
        <f t="shared" si="2"/>
        <v>Jun</v>
      </c>
      <c r="M94">
        <v>2025</v>
      </c>
      <c r="N94" t="s">
        <v>29</v>
      </c>
      <c r="O94" t="s">
        <v>21</v>
      </c>
    </row>
    <row r="95" spans="1:15" x14ac:dyDescent="0.3">
      <c r="A95" t="s">
        <v>334</v>
      </c>
      <c r="B95" t="s">
        <v>335</v>
      </c>
      <c r="C95" t="s">
        <v>336</v>
      </c>
      <c r="D95" s="1">
        <v>45698</v>
      </c>
      <c r="E95" t="s">
        <v>134</v>
      </c>
      <c r="F95" t="s">
        <v>17</v>
      </c>
      <c r="G95">
        <v>5</v>
      </c>
      <c r="H95">
        <v>944.54</v>
      </c>
      <c r="I95" t="s">
        <v>18</v>
      </c>
      <c r="J95" t="s">
        <v>59</v>
      </c>
      <c r="K95">
        <v>4722.7</v>
      </c>
      <c r="L95" t="str">
        <f t="shared" si="2"/>
        <v>Feb</v>
      </c>
      <c r="M95">
        <v>2025</v>
      </c>
      <c r="N95" t="s">
        <v>60</v>
      </c>
      <c r="O95" t="s">
        <v>51</v>
      </c>
    </row>
    <row r="96" spans="1:15" x14ac:dyDescent="0.3">
      <c r="A96" t="s">
        <v>337</v>
      </c>
      <c r="B96" t="s">
        <v>338</v>
      </c>
      <c r="C96" t="s">
        <v>339</v>
      </c>
      <c r="D96" s="1">
        <v>45827</v>
      </c>
      <c r="E96" t="s">
        <v>46</v>
      </c>
      <c r="F96" t="s">
        <v>41</v>
      </c>
      <c r="G96">
        <v>5</v>
      </c>
      <c r="H96">
        <v>817.46</v>
      </c>
      <c r="I96" t="s">
        <v>18</v>
      </c>
      <c r="J96" t="s">
        <v>59</v>
      </c>
      <c r="K96">
        <v>4087.3</v>
      </c>
      <c r="L96" t="str">
        <f t="shared" si="2"/>
        <v>Jun</v>
      </c>
      <c r="M96">
        <v>2025</v>
      </c>
      <c r="N96" t="s">
        <v>60</v>
      </c>
      <c r="O96" t="s">
        <v>51</v>
      </c>
    </row>
    <row r="97" spans="1:15" x14ac:dyDescent="0.3">
      <c r="A97" t="s">
        <v>340</v>
      </c>
      <c r="B97" t="s">
        <v>341</v>
      </c>
      <c r="C97" t="s">
        <v>342</v>
      </c>
      <c r="D97" s="1">
        <v>45649</v>
      </c>
      <c r="E97" t="s">
        <v>118</v>
      </c>
      <c r="F97" t="s">
        <v>17</v>
      </c>
      <c r="G97" t="s">
        <v>29</v>
      </c>
      <c r="H97" t="s">
        <v>29</v>
      </c>
      <c r="I97" t="s">
        <v>27</v>
      </c>
      <c r="J97" t="s">
        <v>35</v>
      </c>
      <c r="L97" t="str">
        <f t="shared" si="2"/>
        <v>Dec</v>
      </c>
      <c r="M97">
        <v>2024</v>
      </c>
      <c r="N97" t="s">
        <v>29</v>
      </c>
      <c r="O97" t="s">
        <v>36</v>
      </c>
    </row>
    <row r="98" spans="1:15" x14ac:dyDescent="0.3">
      <c r="A98" t="s">
        <v>343</v>
      </c>
      <c r="B98" t="s">
        <v>344</v>
      </c>
      <c r="C98" t="s">
        <v>345</v>
      </c>
      <c r="D98" s="1">
        <v>45831</v>
      </c>
      <c r="E98" t="s">
        <v>16</v>
      </c>
      <c r="F98" t="s">
        <v>17</v>
      </c>
      <c r="G98">
        <v>1</v>
      </c>
      <c r="H98">
        <v>160.16</v>
      </c>
      <c r="I98" t="s">
        <v>27</v>
      </c>
      <c r="J98" t="s">
        <v>50</v>
      </c>
      <c r="K98">
        <v>160.16</v>
      </c>
      <c r="L98" t="str">
        <f t="shared" si="2"/>
        <v>Jun</v>
      </c>
      <c r="M98">
        <v>2025</v>
      </c>
      <c r="N98" t="s">
        <v>20</v>
      </c>
      <c r="O98" t="s">
        <v>51</v>
      </c>
    </row>
    <row r="99" spans="1:15" x14ac:dyDescent="0.3">
      <c r="A99" t="s">
        <v>346</v>
      </c>
      <c r="B99" t="s">
        <v>347</v>
      </c>
      <c r="C99" t="s">
        <v>348</v>
      </c>
      <c r="D99" s="1">
        <v>45865</v>
      </c>
      <c r="E99" t="s">
        <v>118</v>
      </c>
      <c r="F99" t="s">
        <v>17</v>
      </c>
      <c r="G99">
        <v>2</v>
      </c>
      <c r="H99">
        <v>497.01</v>
      </c>
      <c r="I99" t="s">
        <v>18</v>
      </c>
      <c r="J99" t="s">
        <v>19</v>
      </c>
      <c r="K99">
        <v>994.02</v>
      </c>
      <c r="L99" t="str">
        <f t="shared" si="2"/>
        <v>Jul</v>
      </c>
      <c r="M99">
        <v>2025</v>
      </c>
      <c r="N99" t="s">
        <v>42</v>
      </c>
      <c r="O99" t="s">
        <v>21</v>
      </c>
    </row>
    <row r="100" spans="1:15" x14ac:dyDescent="0.3">
      <c r="A100" t="s">
        <v>349</v>
      </c>
      <c r="B100" t="s">
        <v>350</v>
      </c>
      <c r="C100" t="s">
        <v>351</v>
      </c>
      <c r="D100" s="1">
        <v>45679</v>
      </c>
      <c r="E100" t="s">
        <v>16</v>
      </c>
      <c r="F100" t="s">
        <v>17</v>
      </c>
      <c r="G100">
        <v>5</v>
      </c>
      <c r="H100">
        <v>372.28</v>
      </c>
      <c r="I100" t="s">
        <v>67</v>
      </c>
      <c r="J100" t="s">
        <v>19</v>
      </c>
      <c r="K100">
        <v>1861.4</v>
      </c>
      <c r="L100" t="str">
        <f t="shared" si="2"/>
        <v>Jan</v>
      </c>
      <c r="M100">
        <v>2025</v>
      </c>
      <c r="N100" t="s">
        <v>42</v>
      </c>
      <c r="O100" t="s">
        <v>21</v>
      </c>
    </row>
  </sheetData>
  <phoneticPr fontId="2" type="noConversion"/>
  <conditionalFormatting sqref="G101">
    <cfRule type="duplicateValues" dxfId="1"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C070F-DDA7-4F1F-B887-ED316865B234}">
  <dimension ref="A3:B9"/>
  <sheetViews>
    <sheetView workbookViewId="0">
      <selection activeCell="R11" sqref="R11"/>
    </sheetView>
  </sheetViews>
  <sheetFormatPr defaultRowHeight="14.4" x14ac:dyDescent="0.3"/>
  <cols>
    <col min="1" max="1" width="12.5546875" bestFit="1" customWidth="1"/>
    <col min="2" max="2" width="19.6640625" bestFit="1" customWidth="1"/>
    <col min="3" max="3" width="6" bestFit="1" customWidth="1"/>
    <col min="4" max="4" width="7" bestFit="1" customWidth="1"/>
    <col min="5" max="5" width="4" bestFit="1" customWidth="1"/>
    <col min="6" max="8" width="7" bestFit="1" customWidth="1"/>
    <col min="9" max="9" width="6" bestFit="1" customWidth="1"/>
    <col min="10" max="30" width="7" bestFit="1" customWidth="1"/>
    <col min="31" max="31" width="6" bestFit="1" customWidth="1"/>
    <col min="32" max="37" width="7" bestFit="1" customWidth="1"/>
    <col min="38" max="38" width="8" bestFit="1" customWidth="1"/>
    <col min="39" max="39" width="7" bestFit="1" customWidth="1"/>
    <col min="40" max="40" width="8" bestFit="1" customWidth="1"/>
    <col min="41" max="43" width="7" bestFit="1" customWidth="1"/>
    <col min="44" max="49" width="8" bestFit="1" customWidth="1"/>
    <col min="50" max="51" width="7" bestFit="1" customWidth="1"/>
    <col min="52" max="58" width="8" bestFit="1" customWidth="1"/>
    <col min="59" max="59" width="7" bestFit="1" customWidth="1"/>
    <col min="60" max="60" width="8" bestFit="1" customWidth="1"/>
    <col min="61" max="61" width="5" bestFit="1" customWidth="1"/>
    <col min="62" max="63" width="8" bestFit="1" customWidth="1"/>
    <col min="64" max="64" width="7" bestFit="1" customWidth="1"/>
    <col min="65" max="65" width="8" bestFit="1" customWidth="1"/>
    <col min="66" max="66" width="7" bestFit="1" customWidth="1"/>
    <col min="67" max="69" width="8" bestFit="1" customWidth="1"/>
    <col min="70" max="70" width="7" bestFit="1" customWidth="1"/>
    <col min="71" max="71" width="8" bestFit="1" customWidth="1"/>
    <col min="72" max="72" width="7" bestFit="1" customWidth="1"/>
    <col min="73" max="76" width="8" bestFit="1" customWidth="1"/>
    <col min="77" max="78" width="7" bestFit="1" customWidth="1"/>
    <col min="79" max="79" width="8" bestFit="1" customWidth="1"/>
    <col min="80" max="81" width="7" bestFit="1" customWidth="1"/>
    <col min="82" max="83" width="8" bestFit="1" customWidth="1"/>
    <col min="84" max="86" width="7" bestFit="1" customWidth="1"/>
    <col min="87" max="87" width="10.77734375" bestFit="1" customWidth="1"/>
  </cols>
  <sheetData>
    <row r="3" spans="1:2" x14ac:dyDescent="0.3">
      <c r="A3" s="2" t="s">
        <v>354</v>
      </c>
      <c r="B3" t="s">
        <v>353</v>
      </c>
    </row>
    <row r="4" spans="1:2" x14ac:dyDescent="0.3">
      <c r="A4" s="3" t="s">
        <v>41</v>
      </c>
      <c r="B4" s="7">
        <v>40073.31</v>
      </c>
    </row>
    <row r="5" spans="1:2" x14ac:dyDescent="0.3">
      <c r="A5" s="3" t="s">
        <v>17</v>
      </c>
      <c r="B5" s="7">
        <v>31017.45</v>
      </c>
    </row>
    <row r="6" spans="1:2" x14ac:dyDescent="0.3">
      <c r="A6" s="3" t="s">
        <v>81</v>
      </c>
      <c r="B6" s="7">
        <v>27599.190000000002</v>
      </c>
    </row>
    <row r="7" spans="1:2" x14ac:dyDescent="0.3">
      <c r="A7" s="3" t="s">
        <v>34</v>
      </c>
      <c r="B7" s="7">
        <v>21413.790000000005</v>
      </c>
    </row>
    <row r="8" spans="1:2" x14ac:dyDescent="0.3">
      <c r="A8" s="3" t="s">
        <v>26</v>
      </c>
      <c r="B8" s="7">
        <v>12330.129999999997</v>
      </c>
    </row>
    <row r="9" spans="1:2" x14ac:dyDescent="0.3">
      <c r="A9" s="3" t="s">
        <v>352</v>
      </c>
      <c r="B9" s="7">
        <v>132433.87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72DDC-BDA5-42F8-A120-38765596B1CD}">
  <dimension ref="C4:D15"/>
  <sheetViews>
    <sheetView workbookViewId="0">
      <selection activeCell="C7" sqref="C7"/>
    </sheetView>
  </sheetViews>
  <sheetFormatPr defaultRowHeight="14.4" x14ac:dyDescent="0.3"/>
  <cols>
    <col min="3" max="3" width="12.5546875" bestFit="1" customWidth="1"/>
    <col min="4" max="4" width="19.6640625" bestFit="1" customWidth="1"/>
    <col min="5" max="7" width="9" bestFit="1" customWidth="1"/>
    <col min="8" max="8" width="10" bestFit="1" customWidth="1"/>
    <col min="9" max="9" width="10.77734375" bestFit="1" customWidth="1"/>
    <col min="10" max="10" width="10.33203125" bestFit="1" customWidth="1"/>
    <col min="11" max="11" width="8" bestFit="1" customWidth="1"/>
    <col min="12" max="12" width="9" bestFit="1" customWidth="1"/>
    <col min="13" max="13" width="10.6640625" bestFit="1" customWidth="1"/>
    <col min="14" max="14" width="10" bestFit="1" customWidth="1"/>
    <col min="15" max="16" width="8" bestFit="1" customWidth="1"/>
    <col min="17" max="17" width="9" bestFit="1" customWidth="1"/>
    <col min="18" max="18" width="12.6640625" bestFit="1" customWidth="1"/>
    <col min="19" max="19" width="12.5546875" bestFit="1" customWidth="1"/>
    <col min="20" max="20" width="9" bestFit="1" customWidth="1"/>
    <col min="21" max="21" width="8" bestFit="1" customWidth="1"/>
    <col min="22" max="22" width="9.5546875" bestFit="1" customWidth="1"/>
    <col min="23" max="23" width="11" bestFit="1" customWidth="1"/>
    <col min="24" max="24" width="12" bestFit="1" customWidth="1"/>
    <col min="25" max="25" width="8" bestFit="1" customWidth="1"/>
    <col min="26" max="26" width="11.109375" bestFit="1" customWidth="1"/>
    <col min="27" max="27" width="11.44140625" bestFit="1" customWidth="1"/>
    <col min="28" max="28" width="14.77734375" bestFit="1" customWidth="1"/>
    <col min="29" max="29" width="10.77734375" bestFit="1" customWidth="1"/>
  </cols>
  <sheetData>
    <row r="4" spans="3:4" x14ac:dyDescent="0.3">
      <c r="C4" s="2" t="s">
        <v>354</v>
      </c>
      <c r="D4" t="s">
        <v>353</v>
      </c>
    </row>
    <row r="5" spans="3:4" x14ac:dyDescent="0.3">
      <c r="C5" s="3" t="s">
        <v>80</v>
      </c>
      <c r="D5" s="7">
        <v>14728.67</v>
      </c>
    </row>
    <row r="6" spans="3:4" x14ac:dyDescent="0.3">
      <c r="C6" s="3" t="s">
        <v>76</v>
      </c>
      <c r="D6" s="7">
        <v>14728.640000000001</v>
      </c>
    </row>
    <row r="7" spans="3:4" x14ac:dyDescent="0.3">
      <c r="C7" s="3" t="s">
        <v>134</v>
      </c>
      <c r="D7" s="7">
        <v>14306.440000000002</v>
      </c>
    </row>
    <row r="8" spans="3:4" x14ac:dyDescent="0.3">
      <c r="C8" s="3" t="s">
        <v>46</v>
      </c>
      <c r="D8" s="7">
        <v>9577.39</v>
      </c>
    </row>
    <row r="9" spans="3:4" x14ac:dyDescent="0.3">
      <c r="C9" s="3" t="s">
        <v>16</v>
      </c>
      <c r="D9" s="7">
        <v>8075.3799999999992</v>
      </c>
    </row>
    <row r="10" spans="3:4" x14ac:dyDescent="0.3">
      <c r="C10" s="3" t="s">
        <v>40</v>
      </c>
      <c r="D10" s="7">
        <v>8005.71</v>
      </c>
    </row>
    <row r="11" spans="3:4" x14ac:dyDescent="0.3">
      <c r="C11" s="3" t="s">
        <v>72</v>
      </c>
      <c r="D11" s="7">
        <v>7837.77</v>
      </c>
    </row>
    <row r="12" spans="3:4" x14ac:dyDescent="0.3">
      <c r="C12" s="3" t="s">
        <v>85</v>
      </c>
      <c r="D12" s="7">
        <v>7761.57</v>
      </c>
    </row>
    <row r="13" spans="3:4" x14ac:dyDescent="0.3">
      <c r="C13" s="3" t="s">
        <v>186</v>
      </c>
      <c r="D13" s="7">
        <v>5707.1900000000005</v>
      </c>
    </row>
    <row r="14" spans="3:4" x14ac:dyDescent="0.3">
      <c r="C14" s="3" t="s">
        <v>153</v>
      </c>
      <c r="D14" s="7">
        <v>5272.6100000000006</v>
      </c>
    </row>
    <row r="15" spans="3:4" x14ac:dyDescent="0.3">
      <c r="C15" s="3" t="s">
        <v>352</v>
      </c>
      <c r="D15" s="7">
        <v>96001.37000000001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2A9CD-B1E2-4944-A690-F5F572D2E3C4}">
  <dimension ref="D6:E19"/>
  <sheetViews>
    <sheetView workbookViewId="0">
      <selection activeCell="E8" sqref="E8"/>
    </sheetView>
  </sheetViews>
  <sheetFormatPr defaultRowHeight="14.4" x14ac:dyDescent="0.3"/>
  <cols>
    <col min="4" max="4" width="12.5546875" bestFit="1" customWidth="1"/>
    <col min="5" max="5" width="19.6640625" bestFit="1" customWidth="1"/>
    <col min="6" max="6" width="9" bestFit="1" customWidth="1"/>
    <col min="7" max="7" width="10" bestFit="1" customWidth="1"/>
    <col min="8" max="8" width="10.77734375" bestFit="1" customWidth="1"/>
    <col min="9" max="9" width="10" bestFit="1" customWidth="1"/>
    <col min="10" max="10" width="10.77734375" bestFit="1" customWidth="1"/>
  </cols>
  <sheetData>
    <row r="6" spans="4:5" x14ac:dyDescent="0.3">
      <c r="D6" s="2" t="s">
        <v>354</v>
      </c>
      <c r="E6" t="s">
        <v>353</v>
      </c>
    </row>
    <row r="7" spans="4:5" x14ac:dyDescent="0.3">
      <c r="D7" s="3" t="s">
        <v>359</v>
      </c>
      <c r="E7" s="4">
        <v>13383.470000000001</v>
      </c>
    </row>
    <row r="8" spans="4:5" x14ac:dyDescent="0.3">
      <c r="D8" s="3" t="s">
        <v>360</v>
      </c>
      <c r="E8" s="4">
        <v>19391.34</v>
      </c>
    </row>
    <row r="9" spans="4:5" x14ac:dyDescent="0.3">
      <c r="D9" s="3" t="s">
        <v>366</v>
      </c>
      <c r="E9" s="4">
        <v>5675.8600000000006</v>
      </c>
    </row>
    <row r="10" spans="4:5" x14ac:dyDescent="0.3">
      <c r="D10" s="3" t="s">
        <v>367</v>
      </c>
      <c r="E10" s="4">
        <v>1200.28</v>
      </c>
    </row>
    <row r="11" spans="4:5" x14ac:dyDescent="0.3">
      <c r="D11" s="3" t="s">
        <v>68</v>
      </c>
      <c r="E11" s="4">
        <v>12681.01</v>
      </c>
    </row>
    <row r="12" spans="4:5" x14ac:dyDescent="0.3">
      <c r="D12" s="3" t="s">
        <v>364</v>
      </c>
      <c r="E12" s="4">
        <v>16376.43</v>
      </c>
    </row>
    <row r="13" spans="4:5" x14ac:dyDescent="0.3">
      <c r="D13" s="3" t="s">
        <v>357</v>
      </c>
      <c r="E13" s="4">
        <v>15092.8</v>
      </c>
    </row>
    <row r="14" spans="4:5" x14ac:dyDescent="0.3">
      <c r="D14" s="3" t="s">
        <v>363</v>
      </c>
      <c r="E14" s="4">
        <v>5543.1100000000006</v>
      </c>
    </row>
    <row r="15" spans="4:5" x14ac:dyDescent="0.3">
      <c r="D15" s="3" t="s">
        <v>365</v>
      </c>
      <c r="E15" s="4">
        <v>7471.68</v>
      </c>
    </row>
    <row r="16" spans="4:5" x14ac:dyDescent="0.3">
      <c r="D16" s="3" t="s">
        <v>362</v>
      </c>
      <c r="E16" s="4">
        <v>15883.35</v>
      </c>
    </row>
    <row r="17" spans="4:5" x14ac:dyDescent="0.3">
      <c r="D17" s="3" t="s">
        <v>356</v>
      </c>
      <c r="E17" s="4">
        <v>12706.73</v>
      </c>
    </row>
    <row r="18" spans="4:5" x14ac:dyDescent="0.3">
      <c r="D18" s="3" t="s">
        <v>358</v>
      </c>
      <c r="E18" s="4">
        <v>7027.8099999999995</v>
      </c>
    </row>
    <row r="19" spans="4:5" x14ac:dyDescent="0.3">
      <c r="D19" s="3" t="s">
        <v>352</v>
      </c>
      <c r="E19" s="4">
        <v>132433.87000000002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E1076-5344-4521-BAF1-2C637FAC81EC}">
  <dimension ref="D3:E7"/>
  <sheetViews>
    <sheetView workbookViewId="0">
      <selection activeCell="D3" sqref="D3:E7"/>
    </sheetView>
  </sheetViews>
  <sheetFormatPr defaultRowHeight="14.4" x14ac:dyDescent="0.3"/>
  <cols>
    <col min="4" max="4" width="12.5546875" bestFit="1" customWidth="1"/>
    <col min="5" max="5" width="16.44140625" bestFit="1" customWidth="1"/>
    <col min="7" max="7" width="9.88671875" bestFit="1" customWidth="1"/>
    <col min="8" max="8" width="8.77734375" bestFit="1" customWidth="1"/>
    <col min="9" max="9" width="7.88671875" bestFit="1" customWidth="1"/>
    <col min="10" max="10" width="10.77734375" bestFit="1" customWidth="1"/>
  </cols>
  <sheetData>
    <row r="3" spans="4:5" x14ac:dyDescent="0.3">
      <c r="D3" s="2" t="s">
        <v>354</v>
      </c>
      <c r="E3" t="s">
        <v>368</v>
      </c>
    </row>
    <row r="4" spans="4:5" x14ac:dyDescent="0.3">
      <c r="D4" s="3" t="s">
        <v>36</v>
      </c>
      <c r="E4" s="7">
        <v>11</v>
      </c>
    </row>
    <row r="5" spans="4:5" x14ac:dyDescent="0.3">
      <c r="D5" s="3" t="s">
        <v>21</v>
      </c>
      <c r="E5" s="7">
        <v>47</v>
      </c>
    </row>
    <row r="6" spans="4:5" x14ac:dyDescent="0.3">
      <c r="D6" s="3" t="s">
        <v>51</v>
      </c>
      <c r="E6" s="7">
        <v>41</v>
      </c>
    </row>
    <row r="7" spans="4:5" x14ac:dyDescent="0.3">
      <c r="D7" s="3" t="s">
        <v>352</v>
      </c>
      <c r="E7" s="7">
        <v>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9ED64-FBF4-450C-9FCD-23390FAD32B3}">
  <dimension ref="A1:O14"/>
  <sheetViews>
    <sheetView workbookViewId="0">
      <selection activeCell="I18" sqref="I18"/>
    </sheetView>
  </sheetViews>
  <sheetFormatPr defaultRowHeight="14.4" x14ac:dyDescent="0.3"/>
  <cols>
    <col min="1" max="1" width="9" bestFit="1" customWidth="1"/>
    <col min="2" max="2" width="17.44140625" bestFit="1" customWidth="1"/>
    <col min="3" max="3" width="10.77734375" bestFit="1" customWidth="1"/>
    <col min="4" max="4" width="12.88671875" bestFit="1" customWidth="1"/>
    <col min="5" max="5" width="12.21875" bestFit="1" customWidth="1"/>
    <col min="6" max="6" width="10.77734375" bestFit="1" customWidth="1"/>
    <col min="7" max="7" width="10.5546875" bestFit="1" customWidth="1"/>
    <col min="8" max="8" width="9" bestFit="1" customWidth="1"/>
    <col min="9" max="9" width="18.6640625" bestFit="1" customWidth="1"/>
    <col min="10" max="10" width="9" bestFit="1" customWidth="1"/>
    <col min="11" max="11" width="15.33203125" bestFit="1" customWidth="1"/>
    <col min="12" max="13" width="9" bestFit="1" customWidth="1"/>
    <col min="14" max="14" width="16.88671875" bestFit="1" customWidth="1"/>
    <col min="15" max="15" width="14.109375" bestFit="1" customWidth="1"/>
  </cols>
  <sheetData>
    <row r="1" spans="1:15" x14ac:dyDescent="0.3">
      <c r="A1" s="5" t="s">
        <v>369</v>
      </c>
    </row>
    <row r="3" spans="1:15" x14ac:dyDescent="0.3">
      <c r="A3" t="s">
        <v>0</v>
      </c>
      <c r="B3" t="s">
        <v>1</v>
      </c>
      <c r="C3" t="s">
        <v>2</v>
      </c>
      <c r="D3" t="s">
        <v>3</v>
      </c>
      <c r="E3" t="s">
        <v>4</v>
      </c>
      <c r="F3" t="s">
        <v>5</v>
      </c>
      <c r="G3" t="s">
        <v>6</v>
      </c>
      <c r="H3" t="s">
        <v>7</v>
      </c>
      <c r="I3" t="s">
        <v>8</v>
      </c>
      <c r="J3" t="s">
        <v>9</v>
      </c>
      <c r="K3" t="s">
        <v>10</v>
      </c>
      <c r="L3" t="s">
        <v>361</v>
      </c>
      <c r="M3" t="s">
        <v>11</v>
      </c>
      <c r="N3" t="s">
        <v>12</v>
      </c>
      <c r="O3" t="s">
        <v>355</v>
      </c>
    </row>
    <row r="4" spans="1:15" x14ac:dyDescent="0.3">
      <c r="A4" t="s">
        <v>340</v>
      </c>
      <c r="B4" t="s">
        <v>341</v>
      </c>
      <c r="C4" t="s">
        <v>342</v>
      </c>
      <c r="D4" s="1">
        <v>45649</v>
      </c>
      <c r="E4" t="s">
        <v>118</v>
      </c>
      <c r="F4" t="s">
        <v>17</v>
      </c>
      <c r="G4" t="s">
        <v>29</v>
      </c>
      <c r="H4" t="s">
        <v>29</v>
      </c>
      <c r="I4" t="s">
        <v>27</v>
      </c>
      <c r="J4" t="s">
        <v>35</v>
      </c>
      <c r="L4" t="s">
        <v>358</v>
      </c>
      <c r="M4">
        <v>2024</v>
      </c>
      <c r="N4" t="s">
        <v>29</v>
      </c>
      <c r="O4" t="s">
        <v>36</v>
      </c>
    </row>
    <row r="5" spans="1:15" x14ac:dyDescent="0.3">
      <c r="A5" t="s">
        <v>313</v>
      </c>
      <c r="B5" t="s">
        <v>314</v>
      </c>
      <c r="C5" t="s">
        <v>315</v>
      </c>
      <c r="D5" s="1">
        <v>45936</v>
      </c>
      <c r="E5" t="s">
        <v>190</v>
      </c>
      <c r="F5" t="s">
        <v>26</v>
      </c>
      <c r="G5">
        <v>1</v>
      </c>
      <c r="H5">
        <v>365.34</v>
      </c>
      <c r="I5" t="s">
        <v>55</v>
      </c>
      <c r="J5" t="s">
        <v>35</v>
      </c>
      <c r="K5">
        <v>365.34</v>
      </c>
      <c r="L5" t="s">
        <v>362</v>
      </c>
      <c r="M5">
        <v>2025</v>
      </c>
      <c r="N5" t="s">
        <v>20</v>
      </c>
      <c r="O5" t="s">
        <v>36</v>
      </c>
    </row>
    <row r="6" spans="1:15" x14ac:dyDescent="0.3">
      <c r="A6" t="s">
        <v>30</v>
      </c>
      <c r="B6" t="s">
        <v>31</v>
      </c>
      <c r="C6" t="s">
        <v>32</v>
      </c>
      <c r="D6" s="1">
        <v>45649</v>
      </c>
      <c r="E6" t="s">
        <v>33</v>
      </c>
      <c r="F6" t="s">
        <v>34</v>
      </c>
      <c r="G6" t="s">
        <v>29</v>
      </c>
      <c r="H6">
        <v>389.05</v>
      </c>
      <c r="I6" t="s">
        <v>27</v>
      </c>
      <c r="J6" t="s">
        <v>35</v>
      </c>
      <c r="K6">
        <v>389.05</v>
      </c>
      <c r="L6" t="s">
        <v>358</v>
      </c>
      <c r="M6">
        <v>2024</v>
      </c>
      <c r="N6" t="s">
        <v>20</v>
      </c>
      <c r="O6" t="s">
        <v>36</v>
      </c>
    </row>
    <row r="7" spans="1:15" x14ac:dyDescent="0.3">
      <c r="A7" t="s">
        <v>292</v>
      </c>
      <c r="B7" t="s">
        <v>293</v>
      </c>
      <c r="C7" t="s">
        <v>294</v>
      </c>
      <c r="D7" s="1">
        <v>45903</v>
      </c>
      <c r="E7" t="s">
        <v>108</v>
      </c>
      <c r="F7" t="s">
        <v>34</v>
      </c>
      <c r="G7">
        <v>3</v>
      </c>
      <c r="H7">
        <v>868.67</v>
      </c>
      <c r="I7" t="s">
        <v>27</v>
      </c>
      <c r="J7" t="s">
        <v>35</v>
      </c>
      <c r="K7">
        <v>2606.0100000000002</v>
      </c>
      <c r="L7" t="s">
        <v>365</v>
      </c>
      <c r="M7">
        <v>2025</v>
      </c>
      <c r="N7" t="s">
        <v>60</v>
      </c>
      <c r="O7" t="s">
        <v>36</v>
      </c>
    </row>
    <row r="8" spans="1:15" x14ac:dyDescent="0.3">
      <c r="A8" t="s">
        <v>250</v>
      </c>
      <c r="B8" t="s">
        <v>251</v>
      </c>
      <c r="C8" t="s">
        <v>252</v>
      </c>
      <c r="D8" s="1">
        <v>45604</v>
      </c>
      <c r="E8" t="s">
        <v>80</v>
      </c>
      <c r="F8" t="s">
        <v>81</v>
      </c>
      <c r="G8">
        <v>2</v>
      </c>
      <c r="H8">
        <v>443.13</v>
      </c>
      <c r="I8" t="s">
        <v>67</v>
      </c>
      <c r="J8" t="s">
        <v>35</v>
      </c>
      <c r="K8">
        <v>886.26</v>
      </c>
      <c r="L8" t="s">
        <v>356</v>
      </c>
      <c r="M8">
        <v>2024</v>
      </c>
      <c r="N8" t="s">
        <v>42</v>
      </c>
      <c r="O8" t="s">
        <v>36</v>
      </c>
    </row>
    <row r="9" spans="1:15" x14ac:dyDescent="0.3">
      <c r="A9" t="s">
        <v>162</v>
      </c>
      <c r="B9" t="s">
        <v>163</v>
      </c>
      <c r="C9" t="s">
        <v>164</v>
      </c>
      <c r="D9" s="1">
        <v>45711</v>
      </c>
      <c r="E9" t="s">
        <v>118</v>
      </c>
      <c r="F9" t="s">
        <v>17</v>
      </c>
      <c r="G9">
        <v>3</v>
      </c>
      <c r="H9" t="s">
        <v>29</v>
      </c>
      <c r="I9" t="s">
        <v>18</v>
      </c>
      <c r="J9" t="s">
        <v>35</v>
      </c>
      <c r="L9" t="s">
        <v>360</v>
      </c>
      <c r="M9">
        <v>2025</v>
      </c>
      <c r="N9" t="s">
        <v>29</v>
      </c>
      <c r="O9" t="s">
        <v>36</v>
      </c>
    </row>
    <row r="10" spans="1:15" x14ac:dyDescent="0.3">
      <c r="A10" t="s">
        <v>158</v>
      </c>
      <c r="B10" t="s">
        <v>159</v>
      </c>
      <c r="C10" t="s">
        <v>160</v>
      </c>
      <c r="D10" s="1">
        <v>45820</v>
      </c>
      <c r="E10" t="s">
        <v>161</v>
      </c>
      <c r="F10" t="s">
        <v>26</v>
      </c>
      <c r="G10">
        <v>1</v>
      </c>
      <c r="H10">
        <v>696.71</v>
      </c>
      <c r="I10" t="s">
        <v>67</v>
      </c>
      <c r="J10" t="s">
        <v>35</v>
      </c>
      <c r="K10">
        <v>696.71</v>
      </c>
      <c r="L10" t="s">
        <v>364</v>
      </c>
      <c r="M10">
        <v>2025</v>
      </c>
      <c r="N10" t="s">
        <v>42</v>
      </c>
      <c r="O10" t="s">
        <v>36</v>
      </c>
    </row>
    <row r="11" spans="1:15" x14ac:dyDescent="0.3">
      <c r="A11" t="s">
        <v>144</v>
      </c>
      <c r="B11" t="s">
        <v>145</v>
      </c>
      <c r="C11" t="s">
        <v>146</v>
      </c>
      <c r="D11" s="1">
        <v>45749</v>
      </c>
      <c r="E11" t="s">
        <v>108</v>
      </c>
      <c r="F11" t="s">
        <v>34</v>
      </c>
      <c r="G11">
        <v>1</v>
      </c>
      <c r="H11">
        <v>266.7</v>
      </c>
      <c r="I11" t="s">
        <v>27</v>
      </c>
      <c r="J11" t="s">
        <v>35</v>
      </c>
      <c r="K11">
        <v>266.7</v>
      </c>
      <c r="L11" t="s">
        <v>367</v>
      </c>
      <c r="M11">
        <v>2025</v>
      </c>
      <c r="N11" t="s">
        <v>20</v>
      </c>
      <c r="O11" t="s">
        <v>36</v>
      </c>
    </row>
    <row r="12" spans="1:15" x14ac:dyDescent="0.3">
      <c r="A12" t="s">
        <v>131</v>
      </c>
      <c r="B12" t="s">
        <v>132</v>
      </c>
      <c r="C12" t="s">
        <v>133</v>
      </c>
      <c r="D12" s="1">
        <v>45606</v>
      </c>
      <c r="E12" t="s">
        <v>134</v>
      </c>
      <c r="F12" t="s">
        <v>17</v>
      </c>
      <c r="G12">
        <v>3</v>
      </c>
      <c r="H12">
        <v>898.69</v>
      </c>
      <c r="I12" t="s">
        <v>55</v>
      </c>
      <c r="J12" t="s">
        <v>35</v>
      </c>
      <c r="K12">
        <v>2696.07</v>
      </c>
      <c r="L12" t="s">
        <v>356</v>
      </c>
      <c r="M12">
        <v>2024</v>
      </c>
      <c r="N12" t="s">
        <v>60</v>
      </c>
      <c r="O12" t="s">
        <v>36</v>
      </c>
    </row>
    <row r="13" spans="1:15" x14ac:dyDescent="0.3">
      <c r="A13" t="s">
        <v>109</v>
      </c>
      <c r="B13" t="s">
        <v>110</v>
      </c>
      <c r="C13" t="s">
        <v>111</v>
      </c>
      <c r="D13" s="1">
        <v>45941</v>
      </c>
      <c r="E13" t="s">
        <v>72</v>
      </c>
      <c r="F13" t="s">
        <v>34</v>
      </c>
      <c r="G13">
        <v>4</v>
      </c>
      <c r="H13">
        <v>523.01</v>
      </c>
      <c r="I13" t="s">
        <v>67</v>
      </c>
      <c r="J13" t="s">
        <v>35</v>
      </c>
      <c r="K13">
        <v>2092.04</v>
      </c>
      <c r="L13" t="s">
        <v>362</v>
      </c>
      <c r="M13">
        <v>2025</v>
      </c>
      <c r="N13" t="s">
        <v>60</v>
      </c>
      <c r="O13" t="s">
        <v>36</v>
      </c>
    </row>
    <row r="14" spans="1:15" x14ac:dyDescent="0.3">
      <c r="A14" t="s">
        <v>77</v>
      </c>
      <c r="B14" t="s">
        <v>78</v>
      </c>
      <c r="C14" t="s">
        <v>79</v>
      </c>
      <c r="D14" s="1">
        <v>45718</v>
      </c>
      <c r="E14" t="s">
        <v>80</v>
      </c>
      <c r="F14" t="s">
        <v>81</v>
      </c>
      <c r="G14">
        <v>4</v>
      </c>
      <c r="H14">
        <v>752.13</v>
      </c>
      <c r="I14" t="s">
        <v>55</v>
      </c>
      <c r="J14" t="s">
        <v>35</v>
      </c>
      <c r="K14">
        <v>3008.52</v>
      </c>
      <c r="L14" t="s">
        <v>366</v>
      </c>
      <c r="M14">
        <v>2025</v>
      </c>
      <c r="N14" t="s">
        <v>60</v>
      </c>
      <c r="O14" t="s">
        <v>36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84EE1-4725-469F-812B-BFF82D4BD9B8}">
  <dimension ref="E5:F10"/>
  <sheetViews>
    <sheetView topLeftCell="A3" workbookViewId="0">
      <selection activeCell="E7" sqref="E6:E9"/>
      <pivotSelection pane="bottomRight" showHeader="1" axis="axisRow" activeRow="6" activeCol="4" previousRow="6" previousCol="4" click="1" r:id="rId1">
        <pivotArea dataOnly="0" labelOnly="1" fieldPosition="0">
          <references count="1">
            <reference field="8" count="0"/>
          </references>
        </pivotArea>
      </pivotSelection>
    </sheetView>
  </sheetViews>
  <sheetFormatPr defaultRowHeight="14.4" x14ac:dyDescent="0.3"/>
  <cols>
    <col min="5" max="5" width="14.5546875" bestFit="1" customWidth="1"/>
    <col min="6" max="6" width="16.44140625" bestFit="1" customWidth="1"/>
    <col min="7" max="7" width="6" bestFit="1" customWidth="1"/>
    <col min="8" max="8" width="7" bestFit="1" customWidth="1"/>
    <col min="9" max="9" width="4" bestFit="1" customWidth="1"/>
    <col min="10" max="12" width="7" bestFit="1" customWidth="1"/>
    <col min="13" max="13" width="6" bestFit="1" customWidth="1"/>
    <col min="14" max="34" width="7" bestFit="1" customWidth="1"/>
    <col min="35" max="35" width="6" bestFit="1" customWidth="1"/>
    <col min="36" max="41" width="7" bestFit="1" customWidth="1"/>
    <col min="42" max="42" width="8" bestFit="1" customWidth="1"/>
    <col min="43" max="43" width="7" bestFit="1" customWidth="1"/>
    <col min="44" max="44" width="8" bestFit="1" customWidth="1"/>
    <col min="45" max="47" width="7" bestFit="1" customWidth="1"/>
    <col min="48" max="53" width="8" bestFit="1" customWidth="1"/>
    <col min="54" max="55" width="7" bestFit="1" customWidth="1"/>
    <col min="56" max="62" width="8" bestFit="1" customWidth="1"/>
    <col min="63" max="63" width="7" bestFit="1" customWidth="1"/>
    <col min="64" max="64" width="8" bestFit="1" customWidth="1"/>
    <col min="65" max="65" width="5" bestFit="1" customWidth="1"/>
    <col min="66" max="67" width="8" bestFit="1" customWidth="1"/>
    <col min="68" max="68" width="7" bestFit="1" customWidth="1"/>
    <col min="69" max="69" width="8" bestFit="1" customWidth="1"/>
    <col min="70" max="70" width="7" bestFit="1" customWidth="1"/>
    <col min="71" max="73" width="8" bestFit="1" customWidth="1"/>
    <col min="74" max="74" width="7" bestFit="1" customWidth="1"/>
    <col min="75" max="75" width="8" bestFit="1" customWidth="1"/>
    <col min="76" max="76" width="7" bestFit="1" customWidth="1"/>
    <col min="77" max="80" width="8" bestFit="1" customWidth="1"/>
    <col min="81" max="82" width="7" bestFit="1" customWidth="1"/>
    <col min="83" max="83" width="8" bestFit="1" customWidth="1"/>
    <col min="84" max="85" width="7" bestFit="1" customWidth="1"/>
    <col min="86" max="87" width="8" bestFit="1" customWidth="1"/>
    <col min="88" max="90" width="7" bestFit="1" customWidth="1"/>
    <col min="91" max="91" width="10.77734375" bestFit="1" customWidth="1"/>
  </cols>
  <sheetData>
    <row r="5" spans="5:6" x14ac:dyDescent="0.3">
      <c r="E5" s="2" t="s">
        <v>354</v>
      </c>
      <c r="F5" t="s">
        <v>368</v>
      </c>
    </row>
    <row r="6" spans="5:6" x14ac:dyDescent="0.3">
      <c r="E6" s="3" t="s">
        <v>18</v>
      </c>
      <c r="F6" s="7">
        <v>33</v>
      </c>
    </row>
    <row r="7" spans="5:6" x14ac:dyDescent="0.3">
      <c r="E7" s="3" t="s">
        <v>27</v>
      </c>
      <c r="F7" s="7">
        <v>24</v>
      </c>
    </row>
    <row r="8" spans="5:6" x14ac:dyDescent="0.3">
      <c r="E8" s="3" t="s">
        <v>55</v>
      </c>
      <c r="F8" s="7">
        <v>22</v>
      </c>
    </row>
    <row r="9" spans="5:6" x14ac:dyDescent="0.3">
      <c r="E9" s="3" t="s">
        <v>67</v>
      </c>
      <c r="F9" s="7">
        <v>20</v>
      </c>
    </row>
    <row r="10" spans="5:6" x14ac:dyDescent="0.3">
      <c r="E10" s="3" t="s">
        <v>352</v>
      </c>
      <c r="F10" s="7">
        <v>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01509-3120-4865-BC3C-3FFC8C1CFD38}">
  <dimension ref="D4:F5"/>
  <sheetViews>
    <sheetView topLeftCell="A4" workbookViewId="0">
      <selection activeCell="E5" sqref="E5"/>
    </sheetView>
  </sheetViews>
  <sheetFormatPr defaultRowHeight="14.4" x14ac:dyDescent="0.3"/>
  <cols>
    <col min="4" max="4" width="16.44140625" bestFit="1" customWidth="1"/>
    <col min="5" max="5" width="19.6640625" bestFit="1" customWidth="1"/>
    <col min="6" max="6" width="19.88671875" bestFit="1" customWidth="1"/>
  </cols>
  <sheetData>
    <row r="4" spans="4:6" x14ac:dyDescent="0.3">
      <c r="D4" t="s">
        <v>368</v>
      </c>
      <c r="E4" t="s">
        <v>353</v>
      </c>
      <c r="F4" s="6" t="s">
        <v>370</v>
      </c>
    </row>
    <row r="5" spans="4:6" x14ac:dyDescent="0.3">
      <c r="D5" s="7">
        <v>99</v>
      </c>
      <c r="E5" s="10">
        <v>132433.86999999994</v>
      </c>
      <c r="F5" s="9">
        <f>GETPIVOTDATA("Sum of Total Revenue",$D$4)/GETPIVOTDATA("Count of Order_ID",$D$4)</f>
        <v>1337.7158585858579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4D038-CD05-4032-8441-76FF42AE13C3}">
  <dimension ref="A1:XFC27"/>
  <sheetViews>
    <sheetView showGridLines="0" showRowColHeaders="0" tabSelected="1" zoomScale="112" zoomScaleNormal="112" workbookViewId="0">
      <selection activeCell="G1" sqref="G1"/>
    </sheetView>
  </sheetViews>
  <sheetFormatPr defaultColWidth="0" defaultRowHeight="14.4" zeroHeight="1" x14ac:dyDescent="0.3"/>
  <cols>
    <col min="1" max="23" width="8.88671875" customWidth="1"/>
    <col min="24" max="16382" width="8.88671875" hidden="1"/>
    <col min="16384" max="16384" width="8.88671875" hidden="1"/>
  </cols>
  <sheetData>
    <row r="1" spans="7:7" x14ac:dyDescent="0.3">
      <c r="G1" s="8"/>
    </row>
    <row r="2" spans="7:7" x14ac:dyDescent="0.3"/>
    <row r="3" spans="7:7" x14ac:dyDescent="0.3"/>
    <row r="4" spans="7:7" x14ac:dyDescent="0.3"/>
    <row r="5" spans="7:7" x14ac:dyDescent="0.3"/>
    <row r="6" spans="7:7" x14ac:dyDescent="0.3"/>
    <row r="7" spans="7:7" x14ac:dyDescent="0.3"/>
    <row r="8" spans="7:7" x14ac:dyDescent="0.3"/>
    <row r="9" spans="7:7" x14ac:dyDescent="0.3"/>
    <row r="10" spans="7:7" x14ac:dyDescent="0.3"/>
    <row r="11" spans="7:7" x14ac:dyDescent="0.3"/>
    <row r="12" spans="7:7" x14ac:dyDescent="0.3"/>
    <row r="13" spans="7:7" x14ac:dyDescent="0.3"/>
    <row r="14" spans="7:7" x14ac:dyDescent="0.3"/>
    <row r="15" spans="7:7" x14ac:dyDescent="0.3"/>
    <row r="16" spans="7:7"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3C3737-EFE3-4A8D-9D2F-D2A04340FA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cleaned_ecommerce_sales_data</vt:lpstr>
      <vt:lpstr>revenue by category</vt:lpstr>
      <vt:lpstr>top 10 product revenue</vt:lpstr>
      <vt:lpstr>monthly revenue</vt:lpstr>
      <vt:lpstr>status dist.</vt:lpstr>
      <vt:lpstr>Detail1</vt:lpstr>
      <vt:lpstr>payment dist</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Shubhangi Priya</dc:creator>
  <cp:lastModifiedBy>Shubhangi Priya</cp:lastModifiedBy>
  <dcterms:created xsi:type="dcterms:W3CDTF">2026-06-03T15:42:08Z</dcterms:created>
  <dcterms:modified xsi:type="dcterms:W3CDTF">2026-06-06T12:01:07Z</dcterms:modified>
</cp:coreProperties>
</file>